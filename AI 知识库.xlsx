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7"/>
  </bookViews>
  <sheets>
    <sheet name="1 产品发货状态" sheetId="2" r:id="rId1"/>
    <sheet name="2 促单活动" sheetId="3" r:id="rId2"/>
    <sheet name="3 限时通知" sheetId="4" r:id="rId3"/>
    <sheet name="5 产品常规信息" sheetId="5" r:id="rId4"/>
    <sheet name="6 论文表" sheetId="6" r:id="rId5"/>
    <sheet name="7 L0级注意事项" sheetId="7" r:id="rId6"/>
    <sheet name="10 补剂推荐" sheetId="8" r:id="rId7"/>
    <sheet name="12原料专利、认证等材料" sheetId="9" r:id="rId8"/>
    <sheet name="13 产品检测报告" sheetId="10" r:id="rId9"/>
    <sheet name="15 发货状态通用话术库" sheetId="11" r:id="rId10"/>
    <sheet name="16 异常物流话术" sheetId="12" r:id="rId11"/>
    <sheet name="对标品牌与授权（有部分重复信息）"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<sst xmlns="http://schemas.openxmlformats.org/spreadsheetml/2006/main" count="6275" uniqueCount="3761">
  <si>
    <t>产品常用名</t>
  </si>
  <si>
    <t>产品全称</t>
  </si>
  <si>
    <t>发货状态</t>
  </si>
  <si>
    <t>预计发货时间</t>
  </si>
  <si>
    <t>更新发货时间</t>
  </si>
  <si>
    <t>话术模版</t>
  </si>
  <si>
    <t>自定义话术内容</t>
  </si>
  <si>
    <t>创建时间</t>
  </si>
  <si>
    <t>创建人</t>
  </si>
  <si>
    <t>最后更新时间</t>
  </si>
  <si>
    <t>修改人</t>
  </si>
  <si>
    <t>NMN</t>
  </si>
  <si>
    <t>NMN 60000 NAD+ 4 个月量</t>
  </si>
  <si>
    <t>生产中</t>
  </si>
  <si>
    <t>2026年5月底</t>
  </si>
  <si>
    <t>通用话术</t>
  </si>
  <si>
    <t>Cloud 叶芸</t>
  </si>
  <si>
    <t>rTG鱼油</t>
  </si>
  <si>
    <t>95% 高纯度鱼油</t>
  </si>
  <si>
    <t>现货</t>
  </si>
  <si>
    <t>辅酶</t>
  </si>
  <si>
    <t>Kaneka® 还原型辅酶 Q10</t>
  </si>
  <si>
    <t>奶蓟草</t>
  </si>
  <si>
    <t>奶蓟草水飞蓟宾肝脏宝</t>
  </si>
  <si>
    <t>虾青素</t>
  </si>
  <si>
    <t>天然虾青素</t>
  </si>
  <si>
    <t>麦角硫因</t>
  </si>
  <si>
    <t>麦角硫因 + 谷胱甘肽</t>
  </si>
  <si>
    <t>维生素D3滴剂</t>
  </si>
  <si>
    <t>维生素 D3 400IU 液体滴剂 约 428 滴</t>
  </si>
  <si>
    <t>Ryan 孔昊</t>
  </si>
  <si>
    <t>D3K2钙</t>
  </si>
  <si>
    <t>维生素 D3+K2+ 钙</t>
  </si>
  <si>
    <t>TMG</t>
  </si>
  <si>
    <t>牡蛎精</t>
  </si>
  <si>
    <t>叶黄素</t>
  </si>
  <si>
    <t>叶黄素 Pro</t>
  </si>
  <si>
    <t>2026年6月</t>
  </si>
  <si>
    <t>亚精胺</t>
  </si>
  <si>
    <t>大豆异黄酮</t>
  </si>
  <si>
    <t>雌激素大豆异黄酮</t>
  </si>
  <si>
    <t>AKK</t>
  </si>
  <si>
    <t>AKK 瘦子菌</t>
  </si>
  <si>
    <t>小檗碱</t>
  </si>
  <si>
    <t>小檗碱 4 个月量大桶装</t>
  </si>
  <si>
    <t>槲皮素</t>
  </si>
  <si>
    <t>AKG</t>
  </si>
  <si>
    <t>AKG 4 个月量大桶装</t>
  </si>
  <si>
    <t>纳豆激酶</t>
  </si>
  <si>
    <t>氨糖</t>
  </si>
  <si>
    <t>氨糖软骨素</t>
  </si>
  <si>
    <t>PQQ</t>
  </si>
  <si>
    <t>PQQ+PS</t>
  </si>
  <si>
    <t>苏糖酸镁</t>
  </si>
  <si>
    <t>专利 L-苏糖酸镁 4 个月量大桶装</t>
  </si>
  <si>
    <t>姜黄素</t>
  </si>
  <si>
    <t>南非醉茄</t>
  </si>
  <si>
    <t>血糖宝</t>
  </si>
  <si>
    <t>血糖宝 R-硫辛酸 4 个月量大桶装</t>
  </si>
  <si>
    <t>前列腺宝</t>
  </si>
  <si>
    <t>前列腺宝 Pro 锯棕榈 + 番茄红素</t>
  </si>
  <si>
    <t>活性维生素</t>
  </si>
  <si>
    <t>活性维生素 B 族</t>
  </si>
  <si>
    <t>女维</t>
  </si>
  <si>
    <t>女士全效复合活性维生素 200 天量</t>
  </si>
  <si>
    <t>男维</t>
  </si>
  <si>
    <t>男士全效复合活性维生素 200 天量</t>
  </si>
  <si>
    <t>褪黑素</t>
  </si>
  <si>
    <t>褪黑素口溶闪睡片</t>
  </si>
  <si>
    <t>维生素D3胶囊</t>
  </si>
  <si>
    <t>维生素 D3 2000IU 软胶囊 360 天量</t>
  </si>
  <si>
    <t>罗伊氏乳杆菌</t>
  </si>
  <si>
    <t>养胃益生菌 4 个月量</t>
  </si>
  <si>
    <t>玛卡</t>
  </si>
  <si>
    <t>玛卡 + 喜来芝</t>
  </si>
  <si>
    <t>您好，玛卡+喜来芝目前正在生产中，下单预计60天内发货~
为了回馈您的耐心等待，营养工厂上线“等待积分”补偿机制:
1.下单后每等待1天可获得30积分，即使取消订单也会按照实际等待时间发放
2.等待积分会在【发货】或【取消订单】后3小时左右到账，积分可用于兑换优惠券和部分商品。</t>
  </si>
  <si>
    <t>藻油</t>
  </si>
  <si>
    <t>婴幼少儿 DHA 藻油</t>
  </si>
  <si>
    <t>胶原蛋白肽</t>
  </si>
  <si>
    <t>尿石素</t>
  </si>
  <si>
    <t>尿石素 A</t>
  </si>
  <si>
    <t>反式白藜芦醇</t>
  </si>
  <si>
    <t>2026年8月</t>
  </si>
  <si>
    <t>李迪</t>
  </si>
  <si>
    <t>NR</t>
  </si>
  <si>
    <t>NR NAD+ 4 个月量大桶装</t>
  </si>
  <si>
    <t>女性益生菌</t>
  </si>
  <si>
    <t>女性益生菌 4 个月量</t>
  </si>
  <si>
    <t>活性有机硒</t>
  </si>
  <si>
    <t>L-硒代蛋氨酸 4 个月量</t>
  </si>
  <si>
    <t>儿童钙镁锌</t>
  </si>
  <si>
    <t>儿童成长 液体钙镁锌</t>
  </si>
  <si>
    <t>复合维生素B族</t>
  </si>
  <si>
    <t>中老年女士复合维生素</t>
  </si>
  <si>
    <t>中老年男士复合维生素</t>
  </si>
  <si>
    <t>成人复合益生菌</t>
  </si>
  <si>
    <t>2026年7月</t>
  </si>
  <si>
    <t>锌镁肌酸粉</t>
  </si>
  <si>
    <t>2026年9月</t>
  </si>
  <si>
    <t>益生元纤维粉</t>
  </si>
  <si>
    <t>胶原蛋白肽EGCG饮</t>
  </si>
  <si>
    <t>EPA鱼油</t>
  </si>
  <si>
    <t>97%高纯度EPA鱼油</t>
  </si>
  <si>
    <t>您好，您购买的【{product_name}】正在预售中，预计2个月左右发货哈~
为了回馈您的耐心等待，营养工厂上线“等待积分”补偿机制:1.下单后每等待1天可获得30积分，即使取消订单也会按照实际等待时间发放2.等待积分会在【发货】或【取消订单】后3小时左右到账，积分可用于兑换优惠券和部分商品</t>
  </si>
  <si>
    <t>全家复合益生菌</t>
  </si>
  <si>
    <t>活动名称</t>
  </si>
  <si>
    <t>活动内容</t>
  </si>
  <si>
    <t>活动问题</t>
  </si>
  <si>
    <t>回复话术</t>
  </si>
  <si>
    <t>活动开始时间</t>
  </si>
  <si>
    <t>活动结束时间</t>
  </si>
  <si>
    <t>通知名称</t>
  </si>
  <si>
    <t>通知话术</t>
  </si>
  <si>
    <t>通知开始时间</t>
  </si>
  <si>
    <t>通知结束时间</t>
  </si>
  <si>
    <t>父记录</t>
  </si>
  <si>
    <t>一元拼20元优惠券</t>
  </si>
  <si>
    <t>您好，拼团成功后15分钟左右优惠券会自动发放到双方的账户哈</t>
  </si>
  <si>
    <t>您好，活动是需要您邀请新用户自行拼团的，拼团失败会自动退款1元。</t>
  </si>
  <si>
    <t>您好，已成团的订单是支持申请退款的哈，这个活动是非常值的哦，如果您暂时没有使用的需求，可以给您存着哈，需要用的时候联系我们给您补发就行</t>
  </si>
  <si>
    <t>您好，优惠券有效期14天哈，男女复合维生素是不可使用优惠券的，其他商品都可以哦</t>
  </si>
  <si>
    <t>21:00 限时 3 分钟拼团秒杀</t>
  </si>
  <si>
    <t>您好，本次秒杀活动为每天 21:00 开始，限时 3 分钟，属于拼团秒杀（老带新） 活动，您可以在活动开始后尽快下单并邀请好友参团哦～
活动时间话术</t>
  </si>
  <si>
    <t>5月1号</t>
  </si>
  <si>
    <t>5月3号</t>
  </si>
  <si>
    <t>本次拼团秒杀活动时间是：每天晚上 21:00 开始，限时 3分钟
5月1日
5月2日
5月3日</t>
  </si>
  <si>
    <t>您好，商品包括吨吨杯和补剂盒哦</t>
  </si>
  <si>
    <t>本次活动属于老带新拼团秒杀，若您在限定 3 分钟内未成功拉新，系统会在活动结束后自动退款，无需您额外操作</t>
  </si>
  <si>
    <t>如果您已经拉新成功，有退款需求，可以单独联系客服，我们会根据后台情况为您处理</t>
  </si>
  <si>
    <t>这次活动属于 拼团秒杀（老带新） 机制，需要在活动规则内完成拉新哦；如未在规定时间内完成，系统会自动退款</t>
  </si>
  <si>
    <t>如未成功拉新，系统会在活动结束后自动发起退款，具体到账时间以原支付渠道为准，会有一定处理时效，您可以留意一下账户变化哦</t>
  </si>
  <si>
    <t>活动期间下单领双倍积分，需要备注 【五一】</t>
  </si>
  <si>
    <t>您好，五一活动期间下单可参与双倍积分活动，符合活动要求的订单，在您确认收货后，系统会自动发放双倍积分哦</t>
  </si>
  <si>
    <t>5月5号</t>
  </si>
  <si>
    <t>双倍积分不需要手动领取，符合活动要求的订单在您确认收货后系统自动发放</t>
  </si>
  <si>
    <t>需要备注的哦，本次活动订单需要备注 【五一】</t>
  </si>
  <si>
    <t>如果您下单时忘记备注 【五一】，我们这边可以帮您补备注，后续确认收货后系统会自动发放积分哦</t>
  </si>
  <si>
    <t>积分会在 确认收货后由系统自动发放，您后续可以留意积分账户变化哦</t>
  </si>
  <si>
    <t>神券天天领【50元券包】</t>
  </si>
  <si>
    <t>五一期间我们有神券天天领活动，每天都会发放一个 50 元券包，您当天领取后即可使用哦</t>
  </si>
  <si>
    <t>每日券包包含 10 元无门槛券*2、满 600 减 30 元券*1，优惠券均为当天有效，建议您领取后尽快使用哦</t>
  </si>
  <si>
    <t>可以的，活动期间每天都会发放一个券包，您当天可以领取并使用</t>
  </si>
  <si>
    <t>不可以哦，本次券包内优惠券当天有效，过期后无法继续使用，建议当天尽快下单使用哦</t>
  </si>
  <si>
    <t>本次优惠券 不适用于国产众筹品、跨境男女维，其余商品一般都可以使用，具体以下单页面实际展示为准哦</t>
  </si>
  <si>
    <t>1v1商品链接</t>
  </si>
  <si>
    <t>正在售卖中的批号</t>
  </si>
  <si>
    <t>别称</t>
  </si>
  <si>
    <t>产品英文名称</t>
  </si>
  <si>
    <t>产品卖点</t>
  </si>
  <si>
    <t>对标品牌</t>
  </si>
  <si>
    <t>原料工厂</t>
  </si>
  <si>
    <t>生产工厂</t>
  </si>
  <si>
    <t>发货仓库</t>
  </si>
  <si>
    <t>发货快递商</t>
  </si>
  <si>
    <t>科普图</t>
  </si>
  <si>
    <t>产品说明书</t>
  </si>
  <si>
    <t>主要成分及含量（每份）</t>
  </si>
  <si>
    <t>辅料信息-第一工厂</t>
  </si>
  <si>
    <t>不拼团单盒价格</t>
  </si>
  <si>
    <t>拼团单盒价格</t>
  </si>
  <si>
    <t>起拍数量</t>
  </si>
  <si>
    <t>不拼团起拍价格</t>
  </si>
  <si>
    <t>拼团起拍价格</t>
  </si>
  <si>
    <t>专利信息（作废）</t>
  </si>
  <si>
    <t>专利号（作废）</t>
  </si>
  <si>
    <t>适用年龄段</t>
  </si>
  <si>
    <t>服用方法（含时间）</t>
  </si>
  <si>
    <t>使用禁忌</t>
  </si>
  <si>
    <t>产品之间搭配禁忌</t>
  </si>
  <si>
    <t>保质期</t>
  </si>
  <si>
    <t>储存方法</t>
  </si>
  <si>
    <t>包装盒（瓶）尺寸</t>
  </si>
  <si>
    <t>产品实拍图</t>
  </si>
  <si>
    <t>包装</t>
  </si>
  <si>
    <t>胶囊/片剂/液体颜色</t>
  </si>
  <si>
    <t>胶囊/片剂照片</t>
  </si>
  <si>
    <t>胶囊/片剂尺寸（长宽）</t>
  </si>
  <si>
    <t>产品规格</t>
  </si>
  <si>
    <t>粒子克重（含胶囊）</t>
  </si>
  <si>
    <t>粒子克重（不含胶囊）</t>
  </si>
  <si>
    <t>其他用户好评图 1</t>
  </si>
  <si>
    <t>其他用户好评图 2</t>
  </si>
  <si>
    <t>其他用户好评图 3</t>
  </si>
  <si>
    <t>其他用户好评图 4</t>
  </si>
  <si>
    <t>其他用户好评图 5</t>
  </si>
  <si>
    <t>NMN 烟酰胺单核苷酸</t>
  </si>
  <si>
    <t>NMNH0115804</t>
  </si>
  <si>
    <t>UndoAge PURE NMN60000</t>
  </si>
  <si>
    <t>NMN：提高 NAD+ 水平，从根源抗衰，有助于增强细胞活性、提升精力和睡眠质量、保护茂密头发。行业头部邦泰专利原料 99.9% 高纯度，全酶发酵法安全好吸收（大牌同原料¥3200-8000/月，营养工厂 ¥74.8/月，每日仅需 2.49 元）论文：https://pmc.ncbi.nlm.nih.gov/articles/PMC7238909/</t>
  </si>
  <si>
    <t xml:space="preserve">莱特维健NMN </t>
  </si>
  <si>
    <t>邦泰生物工程（深圳）有限公司（BONTAC Biotech）</t>
  </si>
  <si>
    <t>香港莱特维健</t>
  </si>
  <si>
    <t>香港仓库</t>
  </si>
  <si>
    <t>中通国际</t>
  </si>
  <si>
    <t>NMN.jpg</t>
  </si>
  <si>
    <t>营养工厂 NMN 电子说明书0929.pdf</t>
  </si>
  <si>
    <t>每 2 粒：
NMN(β-烟酰胺单核苷酸 ) 500mg</t>
  </si>
  <si>
    <t>硬脂酸镁，明胶硬胶囊</t>
  </si>
  <si>
    <t>¥260.00</t>
  </si>
  <si>
    <t>BTCEH-N®️ NMN</t>
  </si>
  <si>
    <t>18 岁及以上成年人</t>
  </si>
  <si>
    <t>每日 1-2 粒，早上空腹或随餐服用
服用时建议定期暂停
(例如每隔 3 个月，停用 2-4 周)，以适应补充剂对自身 NAD+ 调节的影响，以便灵活调整服用频率</t>
  </si>
  <si>
    <t>18 岁以下未成年人，孕期、哺乳期妇女，不建议服用；有结节或存在肝肾方面的基础疾病，以及肝脏指标异常者不建议服用；70 岁以上人群，其他基础疾病，请遵医嘱
不可与药物同服</t>
  </si>
  <si>
    <t>1. 不建议与减龄咖啡（国际版）、NR 同时或同天服用
2. NMN 与 NR 二选一，或可与 NR 交替服用</t>
  </si>
  <si>
    <t>24个月</t>
  </si>
  <si>
    <t>请在常温、密封、干燥、避光的条件下储存，开启后请保持干燥剂放置在瓶内并拧紧瓶盖</t>
  </si>
  <si>
    <t>直径 66mm，高125mm</t>
  </si>
  <si>
    <t>image.png</t>
  </si>
  <si>
    <t>白色</t>
  </si>
  <si>
    <t>17.3mm*6.7mm</t>
  </si>
  <si>
    <t>240 粒/瓶</t>
  </si>
  <si>
    <t>340mg</t>
  </si>
  <si>
    <t>260mg</t>
  </si>
  <si>
    <t>甜菜碱</t>
  </si>
  <si>
    <t>TMG0115806</t>
  </si>
  <si>
    <t>三甲基甘氨酸，四甲基胍</t>
  </si>
  <si>
    <t>UndoAge TMG TRIMETHYLGLYCINE</t>
  </si>
  <si>
    <t>TMG：它是身体里的 “代谢小助手”，让蛋白质发挥作用，理顺身体的代谢过程，支持心血管和肝脏健康。还能帮助 NMN 发挥最大效果，组成抗衰黄金组合（大牌同原料同配方¥75-125/月，营养工厂¥34.1/月，每日仅需 1.14 元）论文：https://pmc.ncbi.nlm.nih.gov/articles/PMC8224793/</t>
  </si>
  <si>
    <t>NOW TMG</t>
  </si>
  <si>
    <t>TMG.jpg</t>
  </si>
  <si>
    <t>营养工厂TMG电子说明书0929.pdf</t>
  </si>
  <si>
    <t>每 1 粒：
TMG（三甲基甘氨酸） 500mg</t>
  </si>
  <si>
    <t>微晶纤维素，硬脂酸镁，明胶硬胶囊</t>
  </si>
  <si>
    <t xml:space="preserve">每日1-2 粒，早上空腹或随餐服用
每日500毫克的NMN，可以搭配每日500-1000毫克的TMG </t>
  </si>
  <si>
    <t>18 岁以下未成年人、孕妇、哺乳期妇女不建议服用，其他病症请遵医嘱
不可与药物同服</t>
  </si>
  <si>
    <t>注意：该产品，对水分和湿度非常的敏感，需要严格在密封、干燥、避光的条件下储存，开启后请保持干燥剂放置在瓶内并拧紧瓶盖。</t>
  </si>
  <si>
    <t>直径 56mm，高110mm</t>
  </si>
  <si>
    <t>浅绿色</t>
  </si>
  <si>
    <t>21.4mm*8.4mm</t>
  </si>
  <si>
    <t>60 粒/瓶</t>
  </si>
  <si>
    <t>770mg</t>
  </si>
  <si>
    <t>650mg</t>
  </si>
  <si>
    <t>SMF0116401</t>
  </si>
  <si>
    <t>精脒、N-(3-氨基丙基)-1,4-丁二胺</t>
  </si>
  <si>
    <t>UndoAge SPERMIDINE</t>
  </si>
  <si>
    <t>亚精胺：它是启动细胞自我清洁的关键分子，可加速新陈代谢，辅助减轻体重，有益于抗炎、抗衰，帮助改善记忆力，还是促生发、防脱发的小能手。采用大牌同款 SuperMide™ 专有技术原料，高纯品质。（大牌同原料同配方¥200-300/月，营养工厂¥68.2/月，每日仅需 2.27 元）论文：https://pmc.ncbi.nlm.nih.gov/articles/PMC5806691/</t>
  </si>
  <si>
    <t>double wood</t>
  </si>
  <si>
    <t>音芙医药科技（上海）有限公司</t>
  </si>
  <si>
    <t>亚精胺.jpg</t>
  </si>
  <si>
    <t>营养工厂亚精胺电子说明书1020.pdf</t>
  </si>
  <si>
    <t>每 2 粒：
亚精胺三盐酸盐（来自SuperMide™️ ）10mg</t>
  </si>
  <si>
    <t>SuperMide™ 亚精胺</t>
  </si>
  <si>
    <t>US20230148258A1
WO2005013932A1
WO2022043515A1</t>
  </si>
  <si>
    <t>每日 2 粒，早上随餐服用</t>
  </si>
  <si>
    <t>18 岁以下未成年人、孕期、哺乳期妇女不建议服用，不可与药物同服，其他病症请遵医嘱</t>
  </si>
  <si>
    <t>请在密封、干燥、避光的条件下储存，开启后请保持干燥剂放置在瓶内并拧紧瓶盖。</t>
  </si>
  <si>
    <t>直径 75mm，高148mm</t>
  </si>
  <si>
    <t>浅灰色</t>
  </si>
  <si>
    <t>330mg</t>
  </si>
  <si>
    <t>250mg</t>
  </si>
  <si>
    <t>嗜黏蛋白阿克曼菌（或译作“粘蛋白阿克曼氏菌”)</t>
  </si>
  <si>
    <t>AK0115811</t>
  </si>
  <si>
    <t>瘦子菌、长寿菌、菌王、肠漏修复专家</t>
  </si>
  <si>
    <t>UndoAge AKKERMANSIA COMPLEX</t>
  </si>
  <si>
    <t>AKK：调糖脂代谢，帮助保护肠道和改善免疫，助力科学体重管理。专利 AKK PROBIO® 原料（大牌同规格原料同配方¥700-3000/月，营养工厂 ¥149/月，每日仅需 4.97 元）论文：https://www.nature.com/articles/s41591-019-0495-2</t>
  </si>
  <si>
    <t>inner health金标AKK</t>
  </si>
  <si>
    <t>善恩康生物科技有限公司</t>
  </si>
  <si>
    <t>中通国际/京东快递</t>
  </si>
  <si>
    <t>AKK.jpg</t>
  </si>
  <si>
    <t>AKK 电子说明书1112.pdf</t>
  </si>
  <si>
    <t>每 2 粒：
嗜粘蛋白阿克曼菌（巴氏灭活）300亿 TFU
铬（吡啶甲酸铬） 60mcg
胆钙化醇 5mcg（维生素D3 200IU）
维生素B2 210mcg
绿茶多酚提取物 EGCG 115mg</t>
  </si>
  <si>
    <t>¥139.00</t>
  </si>
  <si>
    <t xml:space="preserve"> AKK PROBIO® AKK</t>
  </si>
  <si>
    <t>ZL 2023 1 1499763.0
ZL 2023 1 1047614.0
ZL 2023 1 1048077.1
ZL 2023 1 1048099.8
ZL 2023 1 1278295.4
ZL 2023 1 1047605.1
ZL 2023 1 1047594.7
ZL 2023 1 1048088.X
ZL 2023 1 1049048.7
ZL 2023 1 1049015.2
HK40093262
HK40095844
HK40093263
HK40098109
HK40095845
HK40095846</t>
  </si>
  <si>
    <t>每日 2 粒，随餐服用</t>
  </si>
  <si>
    <t>18 岁以下未成年人，孕妇、哺乳期妇女，严重菌群失衡、严重肠道屏障破坏者，炎症性肠病高风险者（IBD），免疫缺陷或免疫抑制治疗者，自身免疫疾病者（尤其 IgA 肾病），肾功能不全者，患有内分泌及妇科疾病（如多囊卵巢综合征和子宫内膜异位症等）以及神经系统疾病患者（如帕金森病和多发性硬化症等）不建议服用；其他病症请遵医嘱
不可与药物同服</t>
  </si>
  <si>
    <t>1. 与小檗碱、R-硫辛酸间隔 3h 及以上
2. 不建议与维生素 D3K2 钙、维生素 D3 软胶囊同时或同天服用，与维生素 D3 滴剂同时服用时需计算总量不可超过 2000IU（如果用户在医院检测为 D3 严重缺乏者，可遵医嘱剂量同天服用）
3. 避免与抗生素同服</t>
  </si>
  <si>
    <t>请在密封、干燥、避光、常温条件下储存。</t>
  </si>
  <si>
    <t>135mm*85mm*56mm</t>
  </si>
  <si>
    <t>浅蓝色</t>
  </si>
  <si>
    <t>19.4mm*7.4mm</t>
  </si>
  <si>
    <t>60 粒/盒</t>
  </si>
  <si>
    <t>500mg</t>
  </si>
  <si>
    <t>400mg</t>
  </si>
  <si>
    <t>img_v3_02vu_7b6a1fa2-556e-43a7-895a-293bb9aa4f6g.jpg</t>
  </si>
  <si>
    <t>麦角硫因谷胱甘肽</t>
  </si>
  <si>
    <t>EGF0116401</t>
  </si>
  <si>
    <t>2-巯基组氨酸甜菜碱
松蕈提取物
麦角硫因脂质体
超级抗氧化剂麦角硫因
2-硫代咪唑氨基酸
麦角含硫碱
巯组氨酸三甲基内盐</t>
  </si>
  <si>
    <t>UndoAge ERGO&amp;GSH COMPLEX</t>
  </si>
  <si>
    <t>麦角硫因+谷胱甘肽：Dr.ERGO®  专利 L-麦角硫因， 99.9% 高纯度，中科院研发天然发酵工艺，对抗氧化起到很好的辅助作用，支持皮肤健康。（大牌同原料同配方¥300-800/月，营养工厂¥78.2/月，每日仅需 2.61 元）
论文：https://pmc.ncbi.nlm.nih.gov/articles/PMC9967237/</t>
  </si>
  <si>
    <t>莱特维健冰肌颜</t>
  </si>
  <si>
    <t>麦角硫因：上海麦角硫因生物科技集团有限公司
谷胱甘肽：安徽古特生物科技</t>
  </si>
  <si>
    <t>麦角硫因.jpg</t>
  </si>
  <si>
    <t>每 2 粒：
-L-麦角硫因 30mg 
-还原型谷胱甘肽 200 mg
-PQQ 4mg
-鲑鱼DNA核酸蛋白 100 mg
-抗坏血酸棕榈酸酯（酯化维C）300 mg</t>
  </si>
  <si>
    <t>¥276.00</t>
  </si>
  <si>
    <t>Dr.Ergo® 麦角硫因</t>
  </si>
  <si>
    <t>ZL 2023 8 0010573.X</t>
  </si>
  <si>
    <t>每日 2 粒，早上空腹或随餐服用</t>
  </si>
  <si>
    <t>18 岁以下未成年人，孕妇、哺乳期妇女、痛风患者不建议服用，其他病症请遵医嘱
不可与药物同服</t>
  </si>
  <si>
    <t>d7b1d059d8b91b9183970914df8e00e3.jpg</t>
  </si>
  <si>
    <t>550mg</t>
  </si>
  <si>
    <t>450mg</t>
  </si>
  <si>
    <t>AZ0115802</t>
  </si>
  <si>
    <t>虾黄素、虾黄质、虾红素
3,3′-二羟基-4,4′-二酮基-β,β′-胡萝卜素</t>
  </si>
  <si>
    <t>UndoAge Astaxanthin Complex</t>
  </si>
  <si>
    <t>虾青素 ：具有比较强的抗氧化性，帮助淡化皱纹、抵御光老化。AstaZine® 专利，天然游离形叶黄素，100+项人体临床试验验证。（大牌同原料同配方 ¥100-250/月，营养工厂 ¥39.5/月，每日仅需 1.32 元）
论文：https://pmc.ncbi.nlm.nih.gov/articles/PMC8472736/</t>
  </si>
  <si>
    <t>澳乐维他虾青素</t>
  </si>
  <si>
    <t>BGG</t>
  </si>
  <si>
    <t>虾青素.jpg</t>
  </si>
  <si>
    <t>0909虾青素电子说明书.pdf</t>
  </si>
  <si>
    <t>每 1 粒：
AstaZine®虾青素6mg
谷胱甘肽 10mg
维生素E 33.6mg
卵磷脂 130mg</t>
  </si>
  <si>
    <t>中链甘油三酸酯油，蜂蜡，明胶软胶囊（明胶、甘油、纯净水）</t>
  </si>
  <si>
    <t>AstaZine® 虾青素</t>
  </si>
  <si>
    <t>CN 109789178 B
EP 3 522 903 B1
JP 7329245 B2 2023.8.18
US010827775B2
WO 2018/064966 A1</t>
  </si>
  <si>
    <t>随餐服用
基础护肤每日 1 粒，密集养护每日 2 粒</t>
  </si>
  <si>
    <t>18 岁以下未成年人、孕妇、哺乳期妇女不建议服用。经期腹痛明显或经期不准女性建议可避开经期服用。
对藻类过敏（如海带紫菜）、大豆过敏人群、 肝肾功能异常者请勿服用
患有雌激素类疾病人群（乳腺类，子宮类、子宮內膜异位症，或子宮肌瘤等）不建议服用，其他病症请遵医嘱
不可与药物同服</t>
  </si>
  <si>
    <t>请在密封、干燥、避光的条件下储存。</t>
  </si>
  <si>
    <t>135mm*85mm*47mm</t>
  </si>
  <si>
    <t>棕色半透明</t>
  </si>
  <si>
    <t>12.8mm*8.4mm</t>
  </si>
  <si>
    <t>610mg</t>
  </si>
  <si>
    <t>410mg</t>
  </si>
  <si>
    <t>男士复合维生素</t>
  </si>
  <si>
    <t>MV0615805</t>
  </si>
  <si>
    <t>UndoAge MEN'S
COMPLETE MULTIPLE ACTIVE VITAMIN</t>
  </si>
  <si>
    <t>男士复合维生素：专为男士定制，含 20 种科学剂量营养素：12 种维生素 + 7 大核心矿物质，搭配锌、硒及番茄红素，关键营养全覆盖，助力前列腺健康、提升睾酮水平、辅助改善脱发（大牌同规格原料无碘配方¥23-38/月，营养工厂¥14.73/月，每日仅需0.49元）
论文：https://pmc.ncbi.nlm.nih.gov/articles/PMC5852824/</t>
  </si>
  <si>
    <t>拜耳 one-a-day 维生素</t>
  </si>
  <si>
    <t>美国 GMP Nutrition</t>
  </si>
  <si>
    <t>男士复合维生素.jpg</t>
  </si>
  <si>
    <t>营养工厂 活性男士复合维生素 电子说明书1105.pdf</t>
  </si>
  <si>
    <t>每 1 粒：
1. 维生素 A 900mcg (来自醋酸酯维生素 A)
2. 维生素 C 99mg （来自 L-抗坏血酸）
3. 维生素 D 25mcg（1000IU） （来自胆钙化醇）
4. 维生素 E 15mg （来自 dl-a-醋酸生育酚）
5. 维生素 B1 1.32mg （来自盐酸硫胺素）
6. 维生素 B2 1.43mg （来自核黄素 5'-磷酸钠）
7. 烟酰胺 17.6mg （来自烟酰胺）
8. 维生素 B6 2.17mg （来自吡哆醛 5'-磷酸酯）
9. 叶酸 400mcg DFE （这里的DFE是"膳食叶酸当量"，来自 240mcg 叶酸）
10. 维生素 B12 100mcg （来自氰钴胺）
11. 生物素 43mcg （来自 D-生物素）
12. 泛酸 15.5mg （来自 D-泛酸钙）
13. 钙 210mg （来自碳酸钙）
14. 镁 120mg （来自氧化镁）
15. 锌 11mg （来自甘氨酸锌）
16. 硒 55mcg （来自亚硒酸钠）
17. 铜 0.9mg （来自甘氨酸铜）
18. 锰 2.3mg （来自甘氨酸锰）
19. 铬 35mcg （来自吡啶甲酸铬）
20. 番茄红素 300mcg</t>
  </si>
  <si>
    <t>交联羧甲基纤维素钠，二氧化硅，硬脂酸镁，包衣粉</t>
  </si>
  <si>
    <t>每日 1 粒 随餐服用</t>
  </si>
  <si>
    <t>18 岁以下未成年人、肾结石、肾病患者不建议服用，其他病症请遵医嘱，不可与药物同服</t>
  </si>
  <si>
    <t>1. 与 R-硫辛酸间隔 3h 以上
2. 不建议与复合维生素 B 族同时或同天服用
3. 锌每日服用上限 UL 为 40mg，牡蛎精、减龄咖啡（国内版）、男维、女维、槲皮素、发肤甲、玛卡、养胃益生菌、高浓维 C 泡腾片、胶原蛋白肽产品中均含有锌，服用时需注意剂量</t>
  </si>
  <si>
    <t>img_v3_02ui_0a62c125-140c-495c-8a99-bae7a56fcb3g.jpg</t>
  </si>
  <si>
    <t>绿色</t>
  </si>
  <si>
    <t>18.4mm*8.9mm</t>
  </si>
  <si>
    <t>200 片/瓶</t>
  </si>
  <si>
    <t>1.4g</t>
  </si>
  <si>
    <t>女士复合维生素</t>
  </si>
  <si>
    <t>AB0215801</t>
  </si>
  <si>
    <t>UndoAge WOMEN'S
COMPLETE MULTIPLE ACTIVE VITAMIN</t>
  </si>
  <si>
    <t>女士复合维生素：专为女士设计，18 种营养素科学剂量，每粒含有 18mg 铁。提供必需营养、补充微量元素。有益于提高身体免疫力和延缓衰老，保持好气色，改善发质，强韧指甲。（大牌同规格原料无碘配方¥23-38/月，营养工厂¥14.73/月，每日仅需 0.49 元）
论文：https://pmc.ncbi.nlm.nih.gov/articles/PMC5852824/</t>
  </si>
  <si>
    <t>女士复合维生素.jpg</t>
  </si>
  <si>
    <t>0910活性女性复合维生素 电子说明书（1）.pdf</t>
  </si>
  <si>
    <t>每 1 粒：
1. 维生素 A 700mcg （来自醋酸酯维生素 A）
2. 维生素 C 90mg （来自 L-抗坏血酸）
3. 维生素 D 25mcg（1000IU） （来自胆钙化醇）
4. 维生素 E 15mg （来自 dl-a-醋酸生育酚）
5. 维生素 B1 2.4mg （来自盐酸硫胺素） 
6. 维生素 B2 1.95mg （来自核黄素 5'-磷酸钠）
7. 烟酰胺 24mg （来自烟酰胺）
8. 维生素 B6 3.4mg （来自吡哆醛 5'-磷酸酯）
9. 叶酸 665mcg DFE （这里的 DFE 是"膳食叶酸当量"）
10. 维生素 B12 100mcg （来自氰钴胺）
11. 生物素 45mcg （来自 D-生物素）
12. 泛酸 7.5mg （来自 D-泛酸钙）
13. 钙 130mg （来自碳酸钙）
14. 铁 18mg （来自甘氨酸亚铁）
15. 镁 42mg （来自氧化镁）
16 锌 8mg （来自甘氨酸锌）
17. 硒 41mcg （来自亚硒酸钠）
18. 铜 1.35mg （来自甘氨酸铜）</t>
  </si>
  <si>
    <t>羟丙基甲基纤维素、微晶纤维素、麦芽糊精、羧甲基淀粉钠、二氧化硅、硬脂酸镁、包衣（粉色）</t>
  </si>
  <si>
    <t>18 岁以下未成年人、肾结石、肾病患者不建议服用，其他病症请遵医嘱，孕期、哺乳期请咨询医生
不可与药物同服</t>
  </si>
  <si>
    <t>img_v3_02ui_895a69a5-cd11-4290-8216-b42c57f313ag.jpg</t>
  </si>
  <si>
    <t>粉色</t>
  </si>
  <si>
    <t>1.21g</t>
  </si>
  <si>
    <t>鱼油</t>
  </si>
  <si>
    <t>FO1616401-04</t>
  </si>
  <si>
    <t>鱼脂、深海鱼油</t>
  </si>
  <si>
    <t>UndoAge FISH OIL</t>
  </si>
  <si>
    <t>鱼油：IFOS 权威认证的 95% 高纯度鱼油，rTG 构型好吸收，含人体必需的 Omega-3 脂肪酸（秘鲁深海小鱼，远离污染），DHA 和 EPA 黄金配比，对心血管健康、血压、脑部功能以及抗炎、护肤都具有显著的好处（海鲜过敏者慎用）（大牌同标准原料同配方¥200-300/月，营养工厂 ¥69/月，每日仅需 2.3 元）论文：https://pmc.ncbi.nlm.nih.gov/articles/PMC8767101/</t>
  </si>
  <si>
    <t>金凯撒巅峰鱼油和GNC 97%</t>
  </si>
  <si>
    <t>四川欣美加生物医药股份有限公司</t>
  </si>
  <si>
    <t xml:space="preserve">韩国 Novarex </t>
  </si>
  <si>
    <t>鱼油.jpg</t>
  </si>
  <si>
    <t>营养工厂鱼油电子说明书（最新版）.pdf</t>
  </si>
  <si>
    <t xml:space="preserve">每 2 粒：
鱼油 1350mg
总 Omega-3 1289mg
-EPA 680mg
-DHA 550mg
-DPA 27mg
-其他omega-3 32mg </t>
  </si>
  <si>
    <t>明胶软胶囊（明胶，甘油，纯化水）</t>
  </si>
  <si>
    <t>¥59.00</t>
  </si>
  <si>
    <t>14 岁及以上</t>
  </si>
  <si>
    <t>每天服用 2- 5 粒软胶囊。
基础健康：每天 2 粒软胶囊
健康的血脂和血压：每天 3-4 粒软胶囊。
情绪平衡：每天 2 次，每次 2 粒软胶囊
关节支持：每天 5 粒软胶囊</t>
  </si>
  <si>
    <t>14 岁以下，孕期、哺乳期妇女病或使用血液稀释剂人群请在服用前咨询医生
海鲜过敏、有鱼类过敏史人群不建议服用
其他病症请遵医嘱
不可与药物同服</t>
  </si>
  <si>
    <t>1. 避免在使用抗凝/抗血小板药物（华法林、阿哌沙班、利伐沙班、氯吡格雷等）时服用鱼油。</t>
  </si>
  <si>
    <t>69.5mm*65.5mm*122.5mm</t>
  </si>
  <si>
    <t>69859d6615c0c79da601bd74cec70f07.jpg</t>
  </si>
  <si>
    <t>透明</t>
  </si>
  <si>
    <t>17.41mm*9.6mm</t>
  </si>
  <si>
    <t>885mg</t>
  </si>
  <si>
    <t>675mg</t>
  </si>
  <si>
    <t>QC0115806</t>
  </si>
  <si>
    <t>槲皮黄素、五羟基黄酮</t>
  </si>
  <si>
    <t>UndoAge QUERCETIN BLEND</t>
  </si>
  <si>
    <t>槲皮素：在抗氧化和抗炎方面有辅助作用，帮助维持肺部细胞健康、提高运动耐力和性能，辅助降低血浆尿酸浓度，减少心血管疾病风险。Quercefit® 专利技术，生物利用度比普通槲皮素提高 20 倍。（大牌同原料同配方¥275-375/月，营养工厂 ¥54.1/月，每日仅需 1.8 元）
论文：https://pmc.ncbi.nlm.nih.gov/articles/PMC9731755/</t>
  </si>
  <si>
    <t>Nature's Anwser 好分贝</t>
  </si>
  <si>
    <t>Indena</t>
  </si>
  <si>
    <t>槲皮素.jpg</t>
  </si>
  <si>
    <t>营养工厂槲皮素电子说明书（最新版）.pdf</t>
  </si>
  <si>
    <t>每 1 粒:
槲皮素QUERCEFIT  250mg
菠萝蛋白酶 150 mg
锌(吡啶甲酸锌)  25mg
铜(葡萄糖酸铜)  1mg</t>
  </si>
  <si>
    <t>QUERCEFIT® 槲皮素</t>
  </si>
  <si>
    <t>EP 3 654 938 B1
US 11,331,298 B2</t>
  </si>
  <si>
    <t>每日 1-2 粒，随餐服用
每日 1 粒 日常养护
每日 2 粒 改善不适</t>
  </si>
  <si>
    <t>18 岁以下未成年人、孕妇、哺乳期妇女、肝肾功能不全不建议使用，菠萝过敏者需谨慎，明确具体过敏源后决定是否使用。不可与药物同服，其他病症请遵医嘱</t>
  </si>
  <si>
    <t>1. 与 R-硫辛酸间隔 3h 以上
2. 不能与铁剂同服（槲皮素会抑制铁吸收）
https://doi.org/10.1007/s00394-018-1680-7
3. 锌过量风险：锌每日服用上限 UL 为 40mg，牡蛎精、减龄咖啡（国内版）、男维、女维、槲皮素、发肤甲、玛卡、养胃益生菌、高浓维 C 泡腾片、胶原蛋白肽产品中均含有锌，服用时需注意剂量</t>
  </si>
  <si>
    <t>吡咯并喹啉醌</t>
  </si>
  <si>
    <t>PP0115806</t>
  </si>
  <si>
    <t>第十四种维生素
线粒体优化剂/大脑减龄素
超级维生素
吡咯喹啉醌二钠盐</t>
  </si>
  <si>
    <t>UndoAge 
PQQ &amp; PHOSPHATIDYLSERINE</t>
  </si>
  <si>
    <t>PQQ+PS：PQQ：有助于改善线粒体功能，给细胞充能、促进代谢PS：支持大脑神经传递，养护脑部健康，还能帮着提升记忆力与专注力，顶级学术期刊多次报道，双重成分协同发力。（大牌同原料二合一配方¥350-700/月，营养工厂 ¥88.2/月，每日仅需 2.94 元）论文：PQQ：https://pmc.ncbi.nlm.nih.gov/articles/PMC8533503/PS：https://pmc.ncbi.nlm.nih.gov/articles/PMC4258547/</t>
  </si>
  <si>
    <t>研生之力PQQ 20mg PS 30mg+Life extension PS 100mg</t>
  </si>
  <si>
    <t>PQQ：诸城浩天药业有限公司</t>
  </si>
  <si>
    <t>PQQ+PS.jpg</t>
  </si>
  <si>
    <t>营养工厂 PQQ+PS 电子说明书（最新版）.pdf</t>
  </si>
  <si>
    <t>每 2 粒：
PQQ（吡咯并喹啉醌） 20mg
PS（磷脂酰丝氨酸）100mg</t>
  </si>
  <si>
    <t>预胶化淀粉，二氧化硅，硬脂酸镁，明胶硬胶囊</t>
  </si>
  <si>
    <t>PureQQ® PQQ</t>
  </si>
  <si>
    <t>ZL 200910199005.0
ZL 2012 1 0452297.6</t>
  </si>
  <si>
    <t>每日 2 粒 随餐服用</t>
  </si>
  <si>
    <t>18 岁以下未成年人、孕期、哺乳期妇女不建议服用，有结节、息肉、囊肿等病症请遵医嘱，其他病症请遵医嘱
不可与药物同服</t>
  </si>
  <si>
    <t>硫辛酸</t>
  </si>
  <si>
    <t>R-硫辛酸</t>
  </si>
  <si>
    <t>RLAF0615802</t>
  </si>
  <si>
    <t>阿尔法硫辛酸（α-硫辛酸）
二硫辛酸
(R)-(+)-1,2-二硫戊环基-3-戊酸</t>
  </si>
  <si>
    <t>UndoAge R-LIPOIC ACID</t>
  </si>
  <si>
    <t>R-硫辛酸：促进糖代谢帮助减重，助力血糖稳定，改善胰岛素抵抗，帮助降低糖尿病风险。辅助保护神经系统和改善认知。100% 天然构型右旋 R-硫辛酸，高生物利用度。（大牌同规格原料配方 ¥1200-1600/月，营养工厂 ¥44.5/月，每日仅需 1.48 元）
论文：https://pmc.ncbi.nlm.nih.gov/articles/PMC9824456/</t>
  </si>
  <si>
    <t>life extension超级硫辛酸</t>
  </si>
  <si>
    <t>苏州富士莱医药股份有限公司</t>
  </si>
  <si>
    <t>R-硫辛酸.jpg</t>
  </si>
  <si>
    <t>营养工厂 R-硫辛酸电子说明书1105.pdf</t>
  </si>
  <si>
    <t>每 1 粒：
R-硫辛酸 300mg</t>
  </si>
  <si>
    <t>三钙磷酸盐，交联聚维酮，硬脂酸镁，羧甲基淀粉钠，包衣粉</t>
  </si>
  <si>
    <t>建议空腹服用，如空腹服用后肠胃不适者，可随餐服用（但吸收率可能会略微降低）如果体重比较轻，日常血糖正常，想要基础养护，建议 1 粒，如果体重基数大，血糖较高，希望干预糖脂代谢，可以 服用 2 粒。</t>
  </si>
  <si>
    <t>18 岁以下未成年人，孕妇、哺乳期妇女不建议服用
不建议用牛奶送服，牛奶中的钙质会影响硫辛酸的吸收
服用硫辛酸时，需要注意血糖监测、避免血糖风险
服用硫辛酸时，避免饮酒
长期补充硫辛酸时，建议适量补充维生素 B1，这两者有协同作用
低血糖者可餐后 2 小时服用
贫血患者不建议服用
不可与药物同服</t>
  </si>
  <si>
    <t>1. 和金属补充剂同时服用时请至少间隔 3 小时及以上，硫辛酸有螯合金属离子的能力，因此含有钙、铁、镁、锌、铜、锰、铬的补充剂不可同服
2. 应避免饮酒</t>
  </si>
  <si>
    <t>蓝色</t>
  </si>
  <si>
    <t>750mg</t>
  </si>
  <si>
    <t>LDT0115808</t>
  </si>
  <si>
    <t>水飞蓟
洋白蓟</t>
  </si>
  <si>
    <t>UndoAge LIVER DETOX</t>
  </si>
  <si>
    <t>奶蓟草：保肝护肝的小帮手，有助于改善肝脏受损情况，减轻熬夜晚睡带来的肝脏负担。高含量水飞蓟宾，特别添加胆碱助力脂质代谢。（大牌同标准原料升级配方¥120-200/月，营养工厂¥58.2/月，每日仅需 1.94 元）
论文：https://pmc.ncbi.nlm.nih.gov/articles/PMC3098397/</t>
  </si>
  <si>
    <t xml:space="preserve">升级斯维诗PLUS奶蓟草净化片，特别额外添加胆碱 </t>
  </si>
  <si>
    <t>水飞蓟宾：劲创生物</t>
  </si>
  <si>
    <t>奶蓟草.jpg</t>
  </si>
  <si>
    <t>20251011护肝-电子说明书.pdf</t>
  </si>
  <si>
    <t>每 2 粒：
水飞蓟提取物 525mg（含水飞蓟宾 420mg）
朝鲜蓟提取物 40mg
姜黄提取物 75mg
甘草提取物 20mg
胆碱 100mg</t>
  </si>
  <si>
    <t>微晶纤维素，二氧化硅，硬脂酸镁，明胶硬胶囊</t>
  </si>
  <si>
    <t>18 岁以下未成年人、备孕期、孕妇、哺乳期妇女不建议服用，不可与药物同服，其他病症请遵医嘱</t>
  </si>
  <si>
    <t>墨绿色</t>
  </si>
  <si>
    <t>锯棕榈番茄红素</t>
  </si>
  <si>
    <t>OS0115804</t>
  </si>
  <si>
    <t>UndoAge SAWPAL LYCOPENE PRO COMPLEX</t>
  </si>
  <si>
    <t>锯棕榈番茄红素：系统呵护男性健康，辅助改善前列腺增生与雄性激素脱发，守护前列腺，改善夜间排尿频率。经临床试验筛选的 4 合 1 科学配方。（大牌同规格原料配方¥150-350/月，营养工厂¥29.5/月，每日仅需 0.98 元）
论文：https://europepmc.org/article/PMC/4002402</t>
  </si>
  <si>
    <t>升级VIKpro锯棕榈胶囊，特别添加异株荨麻根提取物</t>
  </si>
  <si>
    <t>营养工厂锯棕榈番茄红素 PRO 说明书.pdf</t>
  </si>
  <si>
    <t>每 1 粒：
锯棕榈提取物 320 mg（85%脂肪酸）
番茄红素 5mg 
南瓜籽油 220 mg
荨麻根提取物 50mg</t>
  </si>
  <si>
    <t>蜂蜡，明胶软胶囊（明胶，甘油，纯化水）</t>
  </si>
  <si>
    <t>每日 1-2 粒，随餐服用</t>
  </si>
  <si>
    <t>18 岁以下未成年人不建议服用，其他病症请遵医嘱
孕期、哺乳期请遵医嘱
不可与药物同服</t>
  </si>
  <si>
    <t>灰绿色</t>
  </si>
  <si>
    <t>15.4mm*10mm</t>
  </si>
  <si>
    <t>910mg</t>
  </si>
  <si>
    <t>700mg</t>
  </si>
  <si>
    <t>L-苏糖酸镁</t>
  </si>
  <si>
    <t>LMF0115810</t>
  </si>
  <si>
    <t>双[(2R,3S)-2,3,4-三羟基丁酸]镁
美格泰</t>
  </si>
  <si>
    <t>UndoAge MAGNESIUM  L-THREONATE</t>
  </si>
  <si>
    <t>苏糖酸镁：缓解焦虑压力、舒缓助眠，还能营养大脑、支持认知与记忆力，对多动症（ADHD）和阿尔兹海默症有辅助改善作用Magtein® 专利原料，是极少可穿越血脑屏障的镁补充剂，营养直达脑部。高品质工厂价（大牌同规格原料升级配方¥250 元/月，营养工厂 ¥94.8/月，每日仅需 3.16 元）论文：https://pmc.ncbi.nlm.nih.gov/articles/PMC9786204/</t>
  </si>
  <si>
    <t>Life extension苏糖酸镁</t>
  </si>
  <si>
    <t>无锡脑镁素生物医药科技有限公司</t>
  </si>
  <si>
    <t>苏糖酸镁.jpg</t>
  </si>
  <si>
    <t>营养工厂苏糖酸镁电子说明书0929.pdf</t>
  </si>
  <si>
    <t>每份 3 粒：镁 144mg（来自2000mg Magtein® 苏糖酸镁）</t>
  </si>
  <si>
    <t>Magtein ® -L苏糖酸镁</t>
  </si>
  <si>
    <t>CN201710068955</t>
  </si>
  <si>
    <t>9 岁及以上人群</t>
  </si>
  <si>
    <t>9-16 岁 每天 2 粒
16 岁以上 每天 3 粒
晚上随餐或餐后服用</t>
  </si>
  <si>
    <t>9 岁以下、孕期、哺乳期妇女、有肾病历史及正在服用抗生素的用户，需要告知医生，在医生的指导下进行服用
为避免与钙的竞争吸收，建议镁补剂与钙补剂在一天中的不同时间服用（至少间隔 3 小时以上）
其他病症请遵医嘱
不可与药物同服</t>
  </si>
  <si>
    <t>1. 避免与咖啡因同服
2. 与维生素 D3K2 钙、R-硫辛酸间隔 3h 以上       
3. 如果正在使用钙补充剂，建议镁补剂与钙补剂在一天中的不同时间服用（至少间隔 2 小时以上），以避免与钙的竞争吸收。      
4. 镁元素成年人每日上限（UL）为350mg</t>
  </si>
  <si>
    <t>直径 88mm，高168mm</t>
  </si>
  <si>
    <t>360 粒/瓶</t>
  </si>
  <si>
    <t>850mg</t>
  </si>
  <si>
    <t>730mg</t>
  </si>
  <si>
    <t>叶黄素 pro</t>
  </si>
  <si>
    <t>LES0115804</t>
  </si>
  <si>
    <t>植物黄体素
胡萝卜醇</t>
  </si>
  <si>
    <t>UndoAge LUTEIN
EYE HEALTH+</t>
  </si>
  <si>
    <t>叶黄素：有利于减少蓝光伤害，缓解眼疲劳，保护视网膜，辅助改善白内障和老年黄斑病变。美国 FloraGLO® 专利天然游离形叶黄素，100+项人体临床试验验证。（大牌同原料升级配方¥200-250/月，营养工厂¥68.2/月，每日仅需 2.27 元）
论文：https://pubmed.ncbi.nlm.nih.gov/19541291/</t>
  </si>
  <si>
    <t>优思益6合1护眼丸</t>
  </si>
  <si>
    <t>帝斯曼</t>
  </si>
  <si>
    <t>叶黄素.jpg</t>
  </si>
  <si>
    <t>0909叶黄素电子说明书(1).pdf</t>
  </si>
  <si>
    <t>每 4 粒：
FloraGLO 叶黄素 10mg
玉米黄质 2mg
欧洲蓝莓越橘提取物 100mg
葡萄籽提取物 100mg
小米草提取物 50mg
维生素C 100mg</t>
  </si>
  <si>
    <t>葡萄籽油，蜂蜡，明胶软胶囊（明胶、甘油、纯化水、亮蓝）</t>
  </si>
  <si>
    <t>FloraGLO® 叶黄素</t>
  </si>
  <si>
    <t>US 9,226,940 B2
EP1471898B1</t>
  </si>
  <si>
    <t>每日 4 粒，随餐服用</t>
  </si>
  <si>
    <t>14 岁以下、孕期、哺乳期妇女不建议服用，不可与药物同服，其他病症请遵医嘱</t>
  </si>
  <si>
    <t>蓝黑色</t>
  </si>
  <si>
    <t>120 粒/瓶</t>
  </si>
  <si>
    <t>SI0115805</t>
  </si>
  <si>
    <t>UndoAge SOY ISOFLAVONE</t>
  </si>
  <si>
    <t>大豆异黄酮：帮助调节雌激素平衡，有益于卵巢养护抗衰，缓解更年期女性不适，支持皮肤与整体状态改善。 5 合 1 配方，多效协同。（大牌同标准原料同配方 ¥300-400/月，营养工厂 ¥58.2/月，每日仅需 1.94 元）
论文：https://pmc.ncbi.nlm.nih.gov/articles/PMC8301030/</t>
  </si>
  <si>
    <t>Sorlife大豆异黄酮胶囊</t>
  </si>
  <si>
    <t>大豆异黄酮.jpg</t>
  </si>
  <si>
    <t>营养工厂大豆异黄酮电子说明书（最新版）.pdf</t>
  </si>
  <si>
    <t>每份（2粒）：
大豆异黄酮-120mg
蔓越莓提取物-100mg（25%花青素）
红石榴籽提取物-70mg（95%原花青素）
月见草油-100mg（Y-亚麻酸 10%）
葛根黄酮-80mg</t>
  </si>
  <si>
    <t>18 岁以下未成年人、孕妇、哺乳期妇女、经期、甲状腺疾病患者、患有雌激素相关疾病者不建议服用
大豆异黄酮、大豆者过敏者禁用，其他豆类过敏者慎用。
其他病症请遵医嘱，不可与药物同服</t>
  </si>
  <si>
    <t>img_v3_02ui_ec9bdbbd-342d-40f5-9bb6-bc82170c84cg.jpg</t>
  </si>
  <si>
    <t>棕色</t>
  </si>
  <si>
    <t>AG0115806</t>
  </si>
  <si>
    <t>阿育吠陀药草之王</t>
  </si>
  <si>
    <t>UndoAge ASHWAGANDHA</t>
  </si>
  <si>
    <t>南非醉茄：辅助改善记忆认知、调节情绪压力、提升睡眠质量。Sensoril® 专利南非醉茄提取物，调节压力与焦虑来源-皮质醇。（大牌同款专利原料同配方¥150-200/月，营养工厂¥68.2/月，每日仅需 2.27 元）
论文：https://pmc.ncbi.nlm.nih.gov/articles/PMC12252077/</t>
  </si>
  <si>
    <t>life extension 南非醉茄</t>
  </si>
  <si>
    <t>Kerry Group</t>
  </si>
  <si>
    <t>南非醉茄.jpg</t>
  </si>
  <si>
    <t>营养工厂 南非醉茄电子说明书.pdf</t>
  </si>
  <si>
    <t>每 2 粒：
sensoril®南非醉茄提取物 250mg</t>
  </si>
  <si>
    <t>微晶纤维素，硬脂酸镁，植物硬胶囊</t>
  </si>
  <si>
    <t>sensoril® 南非醉茄</t>
  </si>
  <si>
    <t>US 8,206,757 B2
US 8,329,231 B2
US 9,393,281 B2</t>
  </si>
  <si>
    <t>每日 2 次，每次 1 粒，空腹或随餐</t>
  </si>
  <si>
    <t>18 岁以下未成年人，孕妇，哺乳期妇女不建议服用
甲状腺疾病患者，胃溃疡患者，肝病患者，前列腺疾病患者，服用安眠类药物或镇定类药物者不建议服用，其他病症请遵医嘱
对南非醉茄、寡糖成分过敏者请勿使用
不可与药物同服</t>
  </si>
  <si>
    <t>请在密封、干燥、避光的条件下储存，开启后请保持干燥剂放置在瓶内并拧紧瓶盖</t>
  </si>
  <si>
    <t>img_v3_02ui_846d2ac7-7e4b-4bee-aee7-fbd67855d93g.jpg</t>
  </si>
  <si>
    <t>360mg</t>
  </si>
  <si>
    <t>280mg</t>
  </si>
  <si>
    <t>OPO0115806</t>
  </si>
  <si>
    <t>蛎黄、蚝白、海蛎子</t>
  </si>
  <si>
    <t>UndoAge OYSTER PRO</t>
  </si>
  <si>
    <t>牡蛎精：有利于男性精力、体力、两性力多维提升，辅助提高运动表现。复配氨基酸螯合锌，生物利用度比普通锌高 200%，促进睾酮合成、维护精子健康。（大牌同原料同配方¥300-400/月，营养工厂¥68.2/月，每日仅需 2.27 元）
论文：https://pubmed.ncbi.nlm.nih.gov/39452873/</t>
  </si>
  <si>
    <t>goodhealth 牡蛎精 Prof</t>
  </si>
  <si>
    <t>牡蛎精.jpg</t>
  </si>
  <si>
    <t>营养工厂牡蛎精电子说明书0929.pdf</t>
  </si>
  <si>
    <t>每 4 粒：
浓缩牡蛎粉 360mg
氨基酸螯合锌 40mg
——「相当于锌 8mg」
小麦胚芽油 700mg
牛磺酸 10mg</t>
  </si>
  <si>
    <t>磷脂，蜂蜡，明胶软胶囊（明胶，甘油，纯化水）</t>
  </si>
  <si>
    <t>每日 4 粒（日常保健），早上随餐服用，上限可服用 7 粒（非长期服用剂量建议）</t>
  </si>
  <si>
    <t>18 岁以下未成年人，孕妇、哺乳期妇女、海鲜过敏、甲亢、痛风、尿酸高、肾病患者不建议服用
其他病症请遵医嘱
不可与药物同服</t>
  </si>
  <si>
    <t>1. 与 R-硫辛酸间隔 3h 以上
2. 锌每日服用上限 UL 为 40mg，牡蛎精、减龄咖啡（国内版）、男维、女维、槲皮素、发肤甲、玛卡、养胃益生菌、高浓维 C 泡腾片、胶原蛋白肽产品中均含有锌，服用时需注意剂量</t>
  </si>
  <si>
    <t>img_v3_02ui_0e79c8df-2537-4c48-9f07-183d3d9191cg.jpg</t>
  </si>
  <si>
    <t>棕黄色</t>
  </si>
  <si>
    <t>12mm*7.3mm</t>
  </si>
  <si>
    <t>480mg</t>
  </si>
  <si>
    <t>300mg</t>
  </si>
  <si>
    <t>辅酶 Q10</t>
  </si>
  <si>
    <t>QH0115809</t>
  </si>
  <si>
    <t>泛醌
泛醌10
维生素Q10</t>
  </si>
  <si>
    <t>UndoAge UBIQUINOL CoQ 10</t>
  </si>
  <si>
    <t>辅酶 Q10：护心能手，帮助身体抗氧化、抗疲劳，提高运动活力。采用行业头部 Kaneka® 还原型辅酶 Q10 原料，生物利用度远高于普通氧化型 Q10，熬夜疲惫优选。（大牌同原料升级配方¥300-600/月，营养工厂¥99/月，每日仅需 3.3 元）
论文：https://pmc.ncbi.nlm.nih.gov/articles/PMC7660335/</t>
  </si>
  <si>
    <t>GNC Super-Q10 或 WHC Ubiqor Q10</t>
  </si>
  <si>
    <t>Kaneka Corporation</t>
  </si>
  <si>
    <t>辅酶Q10.jpg</t>
  </si>
  <si>
    <t>营养工厂辅酶q10 电子说明书0929 .pdf</t>
  </si>
  <si>
    <t>每 2 粒：
Kaneka 还原型辅酶Q10 100mg</t>
  </si>
  <si>
    <t>橄榄油，蜂蜡，明胶软胶囊（明胶，甘油，纯化水）</t>
  </si>
  <si>
    <t>¥89.00</t>
  </si>
  <si>
    <t>ZL 2016 8 0036402.4</t>
  </si>
  <si>
    <t>每日 2-4 粒，早上随餐服用
基础健康：一日一次，一次两粒
备孕支持：一日两次，一次两粒</t>
  </si>
  <si>
    <t>18 岁以下未成年人，孕期、哺乳期不建议服用，其他病症请遵医嘱。不可与药物同服</t>
  </si>
  <si>
    <t>棕红色</t>
  </si>
  <si>
    <t>13.7mm*8.9mm</t>
  </si>
  <si>
    <t>UCF0116401</t>
  </si>
  <si>
    <t>姜黄色素、酸性黄、7-双（4-羟基-3-甲氧基苯基）-1,6-庚二烯-3,5-二酮</t>
  </si>
  <si>
    <t>UndoAge ULTRA CURCUMIN</t>
  </si>
  <si>
    <t>姜黄素：对全身抗炎有益，辅助抑制慢性炎症，助力保护肝脏和调节肠道菌群，帮助情绪平衡及免疫支持。姜黄素王 BCM-95® 专利，55 项专利、90 项临床研究，高生物利用度，约为普通姜黄素的 7 倍，拥有 GRAS 安全认证。（大牌同专利原料配方 ¥250-500/月，营养工厂 ¥78.2/月，每日仅需 2.61 元）
论文：https://pmc.ncbi.nlm.nih.gov/articles/PMC5664031/</t>
  </si>
  <si>
    <t>维生素D3K2升级斯维诗D3K2钙，配方升级维生素D从 666IU/日升级到 2000IU/日，维生素K2 从 60 mcg/日 升级 100mcg/日</t>
  </si>
  <si>
    <t>Arjuna Natural</t>
  </si>
  <si>
    <t>姜黄素.jpg</t>
  </si>
  <si>
    <t>营养工厂姜黄素电子说明书（最新版）.pdf</t>
  </si>
  <si>
    <t>每 2 粒：
姜黄素BCM-95（总姜黄复合物 95%） 500mg</t>
  </si>
  <si>
    <t>¥296.00</t>
  </si>
  <si>
    <t>BCM-95™  姜黄素</t>
  </si>
  <si>
    <t>1. US7736679
2. US 7879373
3. US8153172
4. US 7883728
5. US 8197869
6. US 8329233
7. US 8895087
8. JP 5039032
9. JP 5511895
10. US8623431
11. US8993013
12. US 8859020
13. US9492402
14. US 9878040
15. US 9861677
16. EP 2555787（比利时）
17. EP 2555787（瑞士）
18. EP 2555787（德国）
19. EP 2555787（丹麦）
20. EP 2555787（西班牙）
21. EP 2555787（芬兰）
22. EP 2555787（法国）
23. EP 2555787（英国）
24. EP 2555787（希腊）
25. EP 2555787（意大利）
26. EP 2555787（荷兰）
27. EP 2555787（挪威）
28. EP 2555787（波兰）
29. EP 2555787（瑞典）
30. EP 1890546（奥地利）
31. EP 1890546（比利时）
32. EP 1890546（丹麦）
33. EP 1890546（芬兰）
34. EP 1890546（法国）
35. EP 1890546（德国）
36. EP 1890546（希腊）
37. EP 1890546（匈牙利）
38. EP 1890546（爱尔兰）
39. EP 1890546（意大利）
40. EP 1890546（瑞士/列支敦士登）
41. EP 1890546（卢森堡）
42. EP 1890546（荷兰）
43. EP 1890546（波兰）
44. EP 1890546（葡萄牙）
45. EP 1890546（斯洛伐克）
46. EP 1890546（西班牙）
47. EP 1890546（瑞典）
48. EP 1890546（英国）
49. US 10159654
50. US 10286027
51. US 10485843
52. US10512616
53. US 10543277</t>
  </si>
  <si>
    <t>每日 2 粒，随餐服用
首次使用可以从低剂量开始（每日 1 粒），视耐受度调整</t>
  </si>
  <si>
    <t>18 岁以下未成年人、孕妇、哺乳期妇女不建议服用，70 岁以上人群不建议服用，如确有服用需求请遵医嘱
经期量大女性慎用（可能增加出血量）
有严重肝脏、胆管疾病患者请勿服用
存在多种用药，如，正在服用高血压药物、双氯芬酸、血液稀释剂、桥本甲状腺炎治疗药物、免疫抑制剂者，请在使用前咨询医生
未来两周内有手术计划者，请在预定手术前至少 2 周停止使用
如出现：皮肤或眼睛发黄、深色尿液、恶心、呕吐、异常疲倦、虚弱、胃痛或腹痛、食欲不振等情况，应立即停止服用
不可与药物同服</t>
  </si>
  <si>
    <t>NK0115804</t>
  </si>
  <si>
    <t>纳豆红麴
枯草杆菌蛋白激酶</t>
  </si>
  <si>
    <t xml:space="preserve">UndoAge NATTOKINASE </t>
  </si>
  <si>
    <t>纳豆激酶：帮助维持健康的血压、血糖、血脂，呵护心血管，辅助改善动脉粥样硬化。行业标杆 EsseZyme™ 专利纳豆激酶。（大牌同规格原料同配方¥150-200/月，营养工厂¥39.1/月，每日仅需 1.3 元）
论文：https://pmc.ncbi.nlm.nih.gov/articles/PMC5372539/</t>
  </si>
  <si>
    <t>氨糖软骨素升级movefree绿标氨糖软骨素，将氨基葡萄糖硫酸盐替换为植物来源，海鲜过敏者可放心使用</t>
  </si>
  <si>
    <t>纳豆激酶：广东双骏生物科技有限公司</t>
  </si>
  <si>
    <t>纳豆激酶.jpg</t>
  </si>
  <si>
    <t>营养工厂纳豆激酶说明书.pdf</t>
  </si>
  <si>
    <t>每 1 粒：
纳豆激酶 3000FU
大豆卵磷脂 9mg
槐花提取物 1.66mg
橙皮苷 1.66mg</t>
  </si>
  <si>
    <t>微晶纤维素、硬脂酸镁、植物硬胶囊</t>
  </si>
  <si>
    <t xml:space="preserve"> EsseZyme™ 纳豆激酶（暂未授权）</t>
  </si>
  <si>
    <t xml:space="preserve">随餐服用
日常保养每日 1 粒
三高人群每日 2 粒 </t>
  </si>
  <si>
    <t>18 岁以下未成年人，孕妇、哺乳期妇女不建议服用
出血性疾病患者、低血压患者、手术前的患者、有心血管手术史者禁止使用
对大豆过敏人群禁止使用
患有血栓或接受抗凝治疗的患者不建议服用
其他病症请遵医嘱
不可与药物同服</t>
  </si>
  <si>
    <t>1. 不建议与抗凝剂或抗血小板药同时使用，除非医生明确同意并监测：华法林、肝素/低分子肝素、达比加群、利伐沙班、阿哌沙班、依度沙班、阿司匹林、氯吡格雷、替格瑞洛等
2. 与其他“促纤溶/抗凝”类补充剂慎用或避免叠加：高剂量鱼油/omega-3、银杏、蒜提取物、姜黄素、高剂量维生素E、丝氨酸蛋白酶（如塞拉肽）、菠萝蛋白酶等
https://pubmed.ncbi.nlm.nih.gov/16754735/</t>
  </si>
  <si>
    <t>维生素 D3K2钙</t>
  </si>
  <si>
    <t>DKC1015802</t>
  </si>
  <si>
    <t>UndoAge VITAMIN D3+K2 WITH CALCIUM</t>
  </si>
  <si>
    <t>维生素 D3K2 钙：D3 促进钙吸收，K2 将钙引入骨骼，加上好吸收的柠檬酸钙，共同促进骨骼健康 ，精准锁盖入骨，强健骨质。（大牌同标准原料升级配方¥90-200/月，营养工厂¥58.2/月，每日仅需 1.94 元）
论文：https://pubmed.ncbi.nlm.nih.gov/32972636/</t>
  </si>
  <si>
    <t>胶原蛋白肽对标赫熙四重肽</t>
  </si>
  <si>
    <t>韩国 COSMAX</t>
  </si>
  <si>
    <t>维生素D3K2钙.jpg</t>
  </si>
  <si>
    <t>营养工厂维生素D3K2钙电子说明书0206.pdf</t>
  </si>
  <si>
    <t>每 4 片：
钙 666.6mg
维生素D3 2000IU
维生素K2 100mcg</t>
  </si>
  <si>
    <t>硬脂酸镁，包衣粉（羧甲基纤维素钙，二氧化硅，碳酸钙混合物，栀子花黄，胭脂色）</t>
  </si>
  <si>
    <t>12 岁及以上</t>
  </si>
  <si>
    <t>12 岁-18 岁，每日 1 片
18 岁以上的成年人，每日 4 片
随餐服用</t>
  </si>
  <si>
    <t>12 岁以下、高钙血症患者、肾结石患者、肾病患者、血栓患者不建议服用，其他病症请遵医嘱
孕妇和哺乳期妇女需在医生的指导下使用
不可与药物同服</t>
  </si>
  <si>
    <t>1. 不建议与 AKK、男士复合维生素、女士复合维生素、VC 泡腾片、减龄咖啡（国内版）、减龄咖啡（国际版）同时或同天服用（如果在医院检测为 D3 严重缺乏者，可遵医嘱剂量同天服用）
2. 与苏糖酸镁、R-硫辛酸间隔 3h 以上
3.华法林/维生素K拮抗剂使用者：K2会降低药效、影响INR。除非由医生明确管理并调整剂量，否则避免含K2的补剂。若已在用，务必保持每日维生素K摄入“稳定一致”并密切监测INR。
https://ods.od.nih.gov/factsheets/VitaminK-HealthProfessional/</t>
  </si>
  <si>
    <t>黄色</t>
  </si>
  <si>
    <t>113228e94d9c0a4bef26ea6f6c606def.jpg</t>
  </si>
  <si>
    <t>14.4mm*7.9mm</t>
  </si>
  <si>
    <t>120 片/瓶</t>
  </si>
  <si>
    <t>950mg</t>
  </si>
  <si>
    <t>α-酮戊二酸</t>
  </si>
  <si>
    <t>AKG0115803</t>
  </si>
  <si>
    <t>阿尔法酮戊二酸
α - 酮戊二酸，又称2 - 氧代戊二酸、2 - 氧代 - 1,5 - 戊二酸</t>
  </si>
  <si>
    <t>UndoAge AKG</t>
  </si>
  <si>
    <t>AKG：抗衰好帮手，有利于改善疲劳，助力骨骼肌肉养护，辅助提升免疫。绿色生物发酵，包膜颗粒技术，缓释温和好吸收。（大牌同规格原料升级配方 ¥200-800/月，营养工厂 ¥37.05/月，每日仅需 1.24元）
论文：https://www.sciencedirect.com/science/article/abs/pii/S1043276021002666</t>
  </si>
  <si>
    <t>升级GNC 闪睡片，升级添加多种舒缓植物提取物成分</t>
  </si>
  <si>
    <t>AKG.jpg</t>
  </si>
  <si>
    <t>营养工厂-AKG电子说明书1110.pdf</t>
  </si>
  <si>
    <t>每 2 粒：
AKG 1000mg</t>
  </si>
  <si>
    <t>微晶纤维素，硬脂酸镁，肠溶明胶胶囊</t>
  </si>
  <si>
    <t>每日 2 粒，随餐服用
AKG 为有机酸，可能刺激胃肠道，对酸敏感者或初用者可能出现胃部不适，建议随餐或餐后立即服用，首次使用从低剂量开始（每日 1 粒），是耐受度调整</t>
  </si>
  <si>
    <t>18 岁以下未成年人，孕妇及哺乳期妇女，严重代谢紊乱不建议服用，其他病症请遵医嘱
不可与药物同服</t>
  </si>
  <si>
    <t>img_v3_02ui_c96c8fe2-89b4-4e67-bd6c-2eb88e0d9deg.jpg</t>
  </si>
  <si>
    <t>GC0115808</t>
  </si>
  <si>
    <t>UndoAge 
GLUCOSAMINE&amp; CHONDROITIN+</t>
  </si>
  <si>
    <t>氨糖软骨素：对抗炎抗氧化有帮助、助力保护软骨、改善关节损伤和运动功能。植物提取硫酸氨基葡萄糖，五合一舒缓配方，肠胃友好更温和。（大牌同标准原料升级配方 ¥180-200/月，营养工厂 ¥78.2/月，每日仅需 2.61 元）
论文：https://pmc.ncbi.nlm.nih.gov/articles/PMC12250884/</t>
  </si>
  <si>
    <t xml:space="preserve">Nutricot AKG  </t>
  </si>
  <si>
    <t>氨糖软骨素.jpg</t>
  </si>
  <si>
    <t>营养工厂氨糖软骨素电子说明书（最新版）.pdf</t>
  </si>
  <si>
    <t>每份（4 粒）：
氨基葡萄糖硫酸盐（提取自植物）1500mg
MSM（二甲基砜）1500mg
果糖硼酸钙 216mg
硫酸软骨素 200mg
透明质酸 3.3mg</t>
  </si>
  <si>
    <t>微晶纤维素，山梨糖醇，聚维酮K30，硬脂酸镁，薄膜包衣粉</t>
  </si>
  <si>
    <t>每日 4 粒，可 1 次或分多次，随餐服用</t>
  </si>
  <si>
    <t>18 岁以下未成年人、备孕、孕妇和哺乳期妇女不建议服用。
对硫酸氨基葡萄糖或者本品任何辅料过敏者禁用。
慢性肝病患者，严重肝、肾功能不全者，正服用华法林治疗者不建议服用。
不可与药物同服
其他病症请遵医嘱</t>
  </si>
  <si>
    <t>与 R-硫辛酸间隔 3h 以上</t>
  </si>
  <si>
    <t>17.9mm*9.3mm</t>
  </si>
  <si>
    <t>1300mg</t>
  </si>
  <si>
    <t>KJOK2501</t>
  </si>
  <si>
    <t>松果体素
松果腺素
褪黑色素</t>
  </si>
  <si>
    <t>UndoAge MELATONIN</t>
  </si>
  <si>
    <t>褪黑素口溶片：帮助睡眠，促进入睡，调节生物钟，减少夜间醒来的次数。Thinsol™ 专利口溶膜剂型，无水、闪释、深睡快。（大牌同原料同配方¥170-200/月，营养工厂¥79/月，每日仅需 2.64 元）
论文：https://pmc.ncbi.nlm.nih.gov/articles/PMC3503905/</t>
  </si>
  <si>
    <t>GNC 闪睡片</t>
  </si>
  <si>
    <t>Aavishkar</t>
  </si>
  <si>
    <t>印度 Aavishkar</t>
  </si>
  <si>
    <t>褪黑素.jpg</t>
  </si>
  <si>
    <t>褪黑素电子说明书-最新(2).pdf</t>
  </si>
  <si>
    <t>每片有效成分：
缬草提取物 50mg
薰衣草提取物 20mg
洋甘菊提取物 10mg
木槿提取物 10mg
褪黑素5mg</t>
  </si>
  <si>
    <t>普鲁兰，纤维素，沙棘香料，苹果酸，磷脂，中链甘油三酯，甜菊糖苷</t>
  </si>
  <si>
    <t>睡前服用，
每日一片，含于舌上，融化后充分吸收</t>
  </si>
  <si>
    <t>18 岁以下未成年人，孕期、哺乳期妇女不建议服用，不可与药物同服，其他病症请遵医嘱</t>
  </si>
  <si>
    <t>应避免在服用前后 4-6 小时内喝咖啡或摄入其他含咖啡因的饮品（如茶、能量饮料），以免影响褪黑素分泌和睡眠效果
https://doi.org/10.1016/s1389-9457(02)00015-1</t>
  </si>
  <si>
    <t>存放于干燥阴凉处</t>
  </si>
  <si>
    <t>67mm*57mm*27mm</t>
  </si>
  <si>
    <t>30 片/盒</t>
  </si>
  <si>
    <t>200mg</t>
  </si>
  <si>
    <t>U603303</t>
  </si>
  <si>
    <t>脑黄金
藻油粉
二十二碳六烯酸</t>
  </si>
  <si>
    <t>UndoAge DHA ALGAE OIL</t>
  </si>
  <si>
    <t>婴幼少儿DHA藻油：促进婴幼儿神经发育，助力大脑、视觉、记忆力、认知各方面成长。帝斯曼原料，优质深海裂壶藻，腥味淡更安全纯净，全球 200+ 临床研究。（大牌同原料同配方¥125-200/月，营养工厂¥44.5/月，每日仅需 1.48 元）
论文：https://pmc.ncbi.nlm.nih.gov/articles/PMC6860654/</t>
  </si>
  <si>
    <t>纽曼思儿童藻油</t>
  </si>
  <si>
    <t>帝斯曼-芬美意</t>
  </si>
  <si>
    <t>新西兰 UNIPHARM</t>
  </si>
  <si>
    <t>婴幼少儿DHA藻油.jpg</t>
  </si>
  <si>
    <t>0902DHA 藻油-电子说明书(1).pdf</t>
  </si>
  <si>
    <t>每 2 粒：DHA 藻油 500mg（其中 DHA 200mg）</t>
  </si>
  <si>
    <t>明胶软胶囊（明胶、甘油、纯化水）</t>
  </si>
  <si>
    <t>Life's DHA ® 专利藻油</t>
  </si>
  <si>
    <t>3 个月以上儿童、少儿及成人</t>
  </si>
  <si>
    <t>随餐服用
3 岁以下婴幼儿，每日 1 粒（可剪破胶囊皮直接滴入口中或添加在食物中）
4 岁以上儿童，每日 1-2 粒 
10-17 岁、成人、孕妇及哺乳期妇女，每日 2 粒</t>
  </si>
  <si>
    <t>3 个月以下婴儿、对藻类过敏者，请勿服用，有出血倾向或服用抗凝药物者、肝功能严重受损者请勿服用，其他病症请遵医嘱
不可与药物同服</t>
  </si>
  <si>
    <t>36 个月</t>
  </si>
  <si>
    <t>请在常温、密封、干燥、避光的条件下储存，开启后请保持干燥剂放置在瓶内并拧紧瓶盖。</t>
  </si>
  <si>
    <t>img_v3_02vv_7f14b754-3e86-447f-a4ce-8fc360e41edg.jpg</t>
  </si>
  <si>
    <t>60 粒 /瓶</t>
  </si>
  <si>
    <t>CG01013601</t>
  </si>
  <si>
    <t>胶原多肽、水解胶原蛋白、胶原蛋白水解物、低聚肽</t>
  </si>
  <si>
    <t>UndoAge MARINE COLLAGEN PEPTIDES ELIXIR DUAL PACK</t>
  </si>
  <si>
    <t>胶原蛋白肽：行业头部「4 重肽」配方，复配鱼子酱精华，添加多种维矿全域提拉紧致，帮助皮肤保持水润有弹性。（大牌同标准原料同配方¥450-700 月，每日仅需 8.9 元）
论文：https://www.mdpi.com/2072-6643/11/10/2494</t>
  </si>
  <si>
    <t>赫熙四重肽</t>
  </si>
  <si>
    <t>POOG</t>
  </si>
  <si>
    <t>胶原蛋白肽.jpg</t>
  </si>
  <si>
    <t>胶原蛋白肽 电子说明书.pdf</t>
  </si>
  <si>
    <t>液体（每支）：
Naticol®海洋胶原蛋白肽：12200mg（ 其中 I 型 11600mg III型 600mg）
海洋胶原蛋白三肽：500mg
海洋弹性蛋白肽：100mg
锌：5mg
VE：6mg
烟酸：8mg
VB6：0.7mg
VB2：0.7mg
片剂（每支中搭配2粒）：
鱼子酱精华：10mg
枸杞提取物：100mg
针叶果粉：40mg
VA：400 mcg
VC：40mg 
生物素：25 mcg
锰：1mg</t>
  </si>
  <si>
    <t>液体：黑加仑浓缩汁，黄原胶，柠檬酸，酶改性甜菊糖苷，蓝莓香精，混合莓果香精
片剂：微晶纤维素，羧甲基纤维素钙，二氧化硅，硬脂酸镁，碳酸钙复合物，胭脂虫红色素，栀子黄，栀子蓝</t>
  </si>
  <si>
    <t>每日 1 支，建议睡前服用
备注：本品为双舱规格，每支含 2 片压片（400mg）以及 30ml 液体饮。压片可与液体饮同时服用、亦可单独用水送服。液体饮使用前请充分摇匀。</t>
  </si>
  <si>
    <t>18 岁以下未成年人，孕妇、哺乳期妇女不建议服用。海鲜、鱼子酱过敏人群、甲减人群、痛风、肾病患者慎用，不可与药物同服，其他病症请遵医嘱</t>
  </si>
  <si>
    <t>18个月</t>
  </si>
  <si>
    <t>请在常温、密封、干燥、避光的条件下储存</t>
  </si>
  <si>
    <t>167mm*67mm*110mm</t>
  </si>
  <si>
    <t>片剂：紫色
液体：棕黄色</t>
  </si>
  <si>
    <t>img_v3_02vu_3e45b5c4-e2f7-47cd-a691-1a34123f72bg.jpg</t>
  </si>
  <si>
    <t>6.5mm*6.5mm</t>
  </si>
  <si>
    <t>10 支/盒</t>
  </si>
  <si>
    <t>片：200mg    液体：30ml</t>
  </si>
  <si>
    <t>玛卡喜来芝</t>
  </si>
  <si>
    <t>2025-31054</t>
  </si>
  <si>
    <t>南美人参</t>
  </si>
  <si>
    <t>UndoAge SHILAJIT &amp; MACA +</t>
  </si>
  <si>
    <t>玛卡+喜来芝：辅助改善性功能，对提升男性睾酮水平有利，补充肌肉力量。秘鲁黑玛卡+专利 PrimaVie® 喜来芝，安心守护男士健康。（大牌同规格原料同配方¥400-600/月，营养工厂 ¥109/月，每日仅需 3.63 元）
论文：https://pmc.ncbi.nlm.nih.gov/articles/PMC10910417/</t>
  </si>
  <si>
    <t>Aehig喜来芝复合片</t>
  </si>
  <si>
    <t>喜来芝：Natreon</t>
  </si>
  <si>
    <t>美国 Nutrastar</t>
  </si>
  <si>
    <t>玛卡喜来芝.jpg</t>
  </si>
  <si>
    <t>玛卡+喜来芝 电子说明书.pdf</t>
  </si>
  <si>
    <t>每 2 粒：
PrimaVie®（喜来芝提取物）200mg 
L-精氨酸 150mg
L-瓜氨酸 95mg
秘鲁玛卡提取物 66.66mg
番茄提取物 40mg（相当于番茄红素 4mg）
酵母锌 54mg （相当于锌 5.4mg）
酵母硒 17mg （相当于硒 34mcg）</t>
  </si>
  <si>
    <t>微晶纤维素，硬脂酸镁，二氧化硅，植物胶囊</t>
  </si>
  <si>
    <t>PrimaVie® 喜来芝</t>
  </si>
  <si>
    <t>US 20190388322 A1
AU 2021200959 B2</t>
  </si>
  <si>
    <t>18 岁以下未成年人，孕妇、哺乳期妇女，肾病患者不建议服用，其他病症请遵医嘱
不可与药物同服</t>
  </si>
  <si>
    <t>1. 锌每日服用上限 UL 为 40mg，牡蛎精、减龄咖啡（国内版）、男维、女维、槲皮素、发肤甲、玛卡、养胃益生菌、高浓维 C 泡腾片、胶原蛋白肽产品中均含有锌，服用时需注意剂量</t>
  </si>
  <si>
    <t>570mg</t>
  </si>
  <si>
    <t>470mg</t>
  </si>
  <si>
    <t>NR NAD+</t>
  </si>
  <si>
    <t>UndoAge PURE NR60000</t>
  </si>
  <si>
    <t>NR：抗衰小能手，提升 NAD+，帮助提升精力和运动时的爆发力，增强体能表现，支持能量代谢、有益于神经功能与免疫健康。邦泰生物首创专利，99% 高纯度，0 有害溶剂残留（大牌同规格原料同配方¥500-750/月，营养工厂 ¥75/月，每日仅需 2.5 元）
论文：https://pmc.ncbi.nlm.nih.gov/articles/PMC6702140/#sec4</t>
  </si>
  <si>
    <t>原料无对标，我们采用NR苹果酸盐原料，目前京东淘宝等平台上没有使用该原料的产品
剂量可对标乐加欣 Niagen 500mg</t>
  </si>
  <si>
    <t xml:space="preserve">邦泰生物工程（深圳）有限公司（BONTAC Biotech） </t>
  </si>
  <si>
    <t>香港科达</t>
  </si>
  <si>
    <t>NR.jpg</t>
  </si>
  <si>
    <t>每 1 粒：NR 苹果酸盐 500mg</t>
  </si>
  <si>
    <t>暂未授权</t>
  </si>
  <si>
    <t>US12378279B2- NR苹果酸盐晶型及其制备方法与应用-美国专利
CN118561939A-一种烟酰胺核糖苹果酸盐晶型及其制备方法与应用</t>
  </si>
  <si>
    <t>每日 1 粒，早上空腹或随餐服用</t>
  </si>
  <si>
    <t>18 岁以下未成年人，孕期、哺乳期妇女，不建议服用；有结节或存在肝肾方面的基础疾病，以及肝脏指标异常者不建议服用；其他基础疾病，请遵医嘱；健康人群在服用时建议定期暂停（例如每隔 3 个月）以适应补充剂对自身 NAD+ 调节的影响，以便灵活调整服用频率</t>
  </si>
  <si>
    <t>1. 不建议与减龄咖啡（国际版）、NMN 同时或同天服用
2. NMN 与 NR 二选一，或可与 NMN 交替服用
3. 建议可视自身情况间歇性服用</t>
  </si>
  <si>
    <t>UA0116401</t>
  </si>
  <si>
    <t>尿石素-A
3,8-二羟基-6H-二苯并[B,D]吡喃-6-酮
3,8-二羟基-6H-苯并[C]色烯-6-酮
T24和CACO-2细胞抑制剂（UROLITHIN A）</t>
  </si>
  <si>
    <t>UndoAge UROLITHIN A</t>
  </si>
  <si>
    <t>尿石素A：对抗炎、抗氧化、抗衰老有辅助作用，帮助提高免疫力，提升肌肉力量、耐力和运动表现，改善骨骼健康。98% 高纯度尿石素 A。（大牌同规格原料同配方¥800-1700/月，营养工厂¥169/月，每日仅需 5.63 元）
论文：https://pmc.ncbi.nlm.nih.gov/articles/PMC9133463/</t>
  </si>
  <si>
    <t>ProHealth Longevity 尿石素 A</t>
  </si>
  <si>
    <t>邦尚健康</t>
  </si>
  <si>
    <t>尿石素A.jpg</t>
  </si>
  <si>
    <t>每 2 粒：
尿石素A 500mg</t>
  </si>
  <si>
    <t>向日葵卵磷脂油、MCT 油、蜂蜡、明胶软胶囊（明胶，甘油，纯化水）</t>
  </si>
  <si>
    <t>StanYouth® 尿石素 A</t>
  </si>
  <si>
    <t>红色</t>
  </si>
  <si>
    <t>img_v3_02vn_015e03e9-1696-4f3c-805e-8d080939b0fg.jpg</t>
  </si>
  <si>
    <t>1000mg</t>
  </si>
  <si>
    <t>800mg</t>
  </si>
  <si>
    <t>养胃益生菌</t>
  </si>
  <si>
    <t>PL0115802</t>
  </si>
  <si>
    <t>UndoAge Lactobacillus reuteri Complex</t>
  </si>
  <si>
    <t>罗伊氏乳杆菌：养胃护胃小能手，辅助抑制幽门螺旋杆菌感染，有利于增强免疫屏障、提升胃敏健康。丹麦诺维信 Pylopass™ 专利菌株，6 国 12 项临床研究，可安全缓解胃部不适。（大牌同原料同配方¥175-200/月，营养工厂¥92.5/月，每日仅需 3.08 元）
论文：https://pubmed.ncbi.nlm.nih.gov/23917169/</t>
  </si>
  <si>
    <t>Purmeo 帕米奥养胃益生菌</t>
  </si>
  <si>
    <t>诺维信</t>
  </si>
  <si>
    <t>营养工厂 养胃益生菌 电子说明书.pdf</t>
  </si>
  <si>
    <t>每 1 粒：
锌： 2.2mg
肌肽：7.6mg
L-谷氨酰胺：80mg
榆木提取物： 150mg
乳香提取物：20mg
Pylopass™  罗伊氏乳杆菌：200mg</t>
  </si>
  <si>
    <t>Pylopass™ 罗伊氏乳杆菌</t>
  </si>
  <si>
    <t>ZL 2012 8 0033643.5
EP 2717890
特許第 6062931 号
US 2014/0147427 A1</t>
  </si>
  <si>
    <t>每日 1 粒，随餐服用</t>
  </si>
  <si>
    <t>18 岁以下未成年人，孕期、哺乳期妇女不建议服用，其他病症请遵医嘱
不可与药物同服</t>
  </si>
  <si>
    <t>1. 与 R-硫辛酸、高浓维 C 泡腾片、男士/女士复合维生素、美白丸、减龄咖啡、叶黄素、大豆异黄酮、发肤甲软糖、胶原蛋白肽、分离乳清蛋白粉、脱脂奶粉、牛初乳以及各类水果粉（例如橘子、蔓越莓、桃、菠萝等）间隔 3h 以上，因为以上成分会抑制 Pylopass™ 的共聚活性，从而影响其抗幽门螺旋杆菌的效果
2. 锌每日服用上限 UL 为 40mg，牡蛎精、减龄咖啡（国内版）、男维、女维、槲皮素、发肤甲、玛卡、养胃益生菌、高浓维 C 泡腾片、胶原蛋白肽产品中均含有锌，服用时需注意剂量</t>
  </si>
  <si>
    <t>178mm*65mm*137mm</t>
  </si>
  <si>
    <t>半透明</t>
  </si>
  <si>
    <t>21.6mm*8.4mm</t>
  </si>
  <si>
    <t>120 粒/盒</t>
  </si>
  <si>
    <t>BB0115802</t>
  </si>
  <si>
    <t>UndoAge ULTRA BERBERINE</t>
  </si>
  <si>
    <t>小檗碱：辅助改善血糖、缓解胰岛素抵抗，对促进脂肪分解减少脂肪合成有利，辅助改善多囊与痤疮，帮助减少腰围。Berbevis® 小檗碱专利组合物，生物利用度约为普通小檗碱的 10 倍。（大牌同原料同配方¥75-170/月，营养工厂¥61.8/月，每日仅需 2.06元）
论文：https://pmc.ncbi.nlm.nih.gov/articles/PMC6111450/</t>
  </si>
  <si>
    <t>pure encapsulation Berberine UltraSorb 60's</t>
  </si>
  <si>
    <t>小檗碱.jpg</t>
  </si>
  <si>
    <t>营养工厂小檗碱-电子说明书1105.pdf</t>
  </si>
  <si>
    <t>每 1 粒：
Berbevis® 小檗碱复合物 550mg（标准化小檗碱含量 28%～34%）</t>
  </si>
  <si>
    <t>Berbevis® 小檗碱</t>
  </si>
  <si>
    <t>CN 111787909 B</t>
  </si>
  <si>
    <t>每日 1-2 粒，空腹或随餐服用
日常养护：每日 1 粒 
集中管理：每日 2 次，每次 1 粒</t>
  </si>
  <si>
    <t>18 岁以下未成年人，孕期、哺乳期妇女，正在服用如四环素或其他相关抗生素者不建议服用。
特别注意：对于低血糖患者，正在使用口服降糖药或胰岛素人群，请在医生指导下谨慎服用。其他病症请遵医嘱
本产品含有豌豆蛋白。如果您已知对花生或其他豆类产品有严重过敏，请谨慎使用本产品。
不可与药物同服</t>
  </si>
  <si>
    <t>与 AKK、硫辛酸间隔 3h 及以上</t>
  </si>
  <si>
    <t>活性维生素B族</t>
  </si>
  <si>
    <t>BC0116402</t>
  </si>
  <si>
    <t>UndoAge ACTIVE B-COMPLEX</t>
  </si>
  <si>
    <t>活性B族：8 大活性 B 族，科学复配肌醇与 PABA，提升耐力抗疲劳，有助于抗炎抗氧化，辅助改善认知障碍、维持心血管健康。（大牌同规格原料升级配方¥150-300/月，营养工厂¥79/月，每日仅需 2.63 元）
论文：https://www.mdpi.com/2072-6643/8/2/68</t>
  </si>
  <si>
    <t>Life extension 活性维生素 B 族</t>
  </si>
  <si>
    <t>劲创生物</t>
  </si>
  <si>
    <t>活性B族.jpg</t>
  </si>
  <si>
    <t>活性维生素 B 族-电子说明书.pdf</t>
  </si>
  <si>
    <t>每 2 粒：
维生素 B1 (硫胺素) 100mg (来自盐酸硫胺素)
维生素 B2 (核黄素) 75mg (来自核黄素 5’-磷酸) 
维生素 B3 (烟酰胺) 100mg
维生素 B5 (泛酸) 500mg (来自 D-泛酸钙)
维生素 B6（吡哆醇）9mg (来自吡哆醛 5’-磷酸) 
维生素 B7 (生物素) 1000mcg (来自 D-生物素）
维生素 B9 (叶酸) 680mcg DFE (来自 L-5-甲基四氢叶酸钙盐)
维生素 B12 (钴胺素) 100mcg (来自甲钴胺)
钙 50mg (来自 D-泛酸钙，磷酸氢钙) 
肌醇 100mg
PABA (对氨基苯甲酸) 50mg</t>
  </si>
  <si>
    <t>预胶化淀粉、二氧化硅、硬脂酸镁、普鲁兰多糖胶囊</t>
  </si>
  <si>
    <t>18 岁以下未成年人不建议服用
孕妇、哺乳期妇女请遵医嘱
其他病症请遵医嘱
不可与药物同服</t>
  </si>
  <si>
    <t>1. 与胶原蛋白肽、R-硫辛酸间隔 3h 及以上
2. （2 粒）不可与男维、女维同时或同天服用，如果 B 族减为 1 粒可以与男女维同天服用</t>
  </si>
  <si>
    <t>12个月</t>
  </si>
  <si>
    <t>维生素 D3 胶囊 2000IU</t>
  </si>
  <si>
    <t>维生素 D3 胶囊</t>
  </si>
  <si>
    <t>SB018814</t>
  </si>
  <si>
    <t>胆钙化醇、骨化三醇</t>
  </si>
  <si>
    <t>UndoAge VITAMIN D3 2,000IU</t>
  </si>
  <si>
    <t>维生素D3胶囊：对人体免疫系统有益，帮助降低流感风险，辅助缓解产后抑郁、改善认知功能。复配橄榄油促吸收，一小粒满足成人每日所需（大牌同规格原料同配方¥13-17/月，营养工厂¥9.92/月，每日仅需 0.33 元）
论文：https://pmc.ncbi.nlm.nih.gov/articles/PMC10163584/</t>
  </si>
  <si>
    <t>naturewise2000IU</t>
  </si>
  <si>
    <t>美国 United Pharma</t>
  </si>
  <si>
    <t>D3软胶囊.jpg</t>
  </si>
  <si>
    <t>每 1 粒：
维生素 D3 2000IU</t>
  </si>
  <si>
    <t>有机特级初榨橄榄油，明胶软胶囊（明胶 ，甘油，水）</t>
  </si>
  <si>
    <t>18 岁以下未成年人、高血钙症，肝肾功能不全患者，高钙尿症患者，其他患有特定疾病的人（如肝炎、结核病、白血病、淋巴瘤、甲状旁腺功能亢进等疾病的患者）慎用，并遵循医嘱。
由于维生素 D 补充剂可能会与某些药物发生相互作用，以下列举了一些药物示例（并非完整列表），如正在服用奥利司他、他汀类、噻嗪类利尿剂、皮质类固醇等药物患者，请遵循医生建议。
不可与药物同服</t>
  </si>
  <si>
    <t>1. 维生素 D3 每日最高耐受量 UL 为 50mcg（2000IU），在不了解血液 25-羟基维生素 D 情况下，不建议正在服用维生素 D3K2 钙或男女维生素用户长期同时或同天服用维生素 D3 产品。（如需同时服用，具体操作可参考 * 备注）
2. 维生素 D3 与 AKK、维 C 泡腾片同时服用时可计算维生素 D3 总量，如若不超过 UL 可同天服用。</t>
  </si>
  <si>
    <t>461023309a205bf20890b3c8125f99c3.jpg</t>
  </si>
  <si>
    <t>9.7mm*6.4mm</t>
  </si>
  <si>
    <t>150mg</t>
  </si>
  <si>
    <t>维生素 D3  滴剂</t>
  </si>
  <si>
    <t>维生素 D3 滴剂</t>
  </si>
  <si>
    <t>VL1015802</t>
  </si>
  <si>
    <t>UndoAge Vitamin D3</t>
  </si>
  <si>
    <t>维生素D3滴剂：有利于促进神经发育，辅助调节免疫系统、降低流感风险，帮助缓解产后抑郁、改善认知功能。滴剂形态入口轻松，复配 MCT 油，低敏配方易消化。（大牌同规格原料同配方¥33-42/月，营养工厂¥11.5/月，每日仅需 0.38 元）
论文：https://pmc.ncbi.nlm.nih.gov/articles/PMC10163584/</t>
  </si>
  <si>
    <t>滴卓思400IU</t>
  </si>
  <si>
    <t>国内保税仓</t>
  </si>
  <si>
    <t>D3滴剂.jpg</t>
  </si>
  <si>
    <t>20260228维生素 D3 滴剂电子说明书.pdf</t>
  </si>
  <si>
    <t>每 1 滴：
400IU 维生素 D3</t>
  </si>
  <si>
    <t>MCT 油</t>
  </si>
  <si>
    <t>4 岁及以上人群</t>
  </si>
  <si>
    <t>每日 1～5 滴，随餐服用，可直接滴入口腔使用，也可以加入食物/饮料中使用
- 4-11 岁儿童: 400IU - 800IU (1-2滴)
-12-17 岁青少年: 800IU - 1200IU (2-3滴)
-18岁及以上成人 : 1200IU - 2000IU (3-5滴)</t>
  </si>
  <si>
    <t>4 岁以下、高血钙症，肝肾功能不全患者，高钙尿症患者，其他患有特定疾病的人（如肝炎、结核病、白血病、淋巴瘤、甲状旁腺功能亢进等疾病的患者）慎用，并遵循医嘱。
由于维生素 D 补充剂可能会与某些药物发生相互作用，以下列举了一些药物示例（并非完整列表），如正在服用奥利司他、他汀类、噻嗪类利尿剂、皮质类固醇等药物患者，请遵循医生建议。
不可与药物同服</t>
  </si>
  <si>
    <t>1. 开封后建议在半年之内使用完
2. 请勿将滴管直接接触嘴巴
3. 未开封时避光保存，开封后瓶盖盖紧并直立存放在阴凉干燥避光处，建议常温避光储存</t>
  </si>
  <si>
    <t>76mm*46mm*36mm</t>
  </si>
  <si>
    <t>15ml/盒</t>
  </si>
  <si>
    <t>15ml/14g/428滴</t>
  </si>
  <si>
    <t>虎杖甙元、芪三酚、3,4',5-三羟基芪</t>
  </si>
  <si>
    <t>UndoAge TRANS-RESVERATROL</t>
  </si>
  <si>
    <t>反式白藜芦醇：对抗炎抗氧化有帮助，助力保护心脏和神经系统，抗衰抗肥胖小能手。植物来源安全可靠，98% 高纯反式结构，稳定高活性。（大牌同规格原料同配方¥400-600/月，营养工厂47.5/月，每日仅需 1.58 元）
论文：https://pmc.ncbi.nlm.nih.gov/articles/PMC12152427/</t>
  </si>
  <si>
    <t>金达威反式白藜芦醇</t>
  </si>
  <si>
    <t>湖北三鑫医药</t>
  </si>
  <si>
    <t>反式白藜芦醇.jpg</t>
  </si>
  <si>
    <t>每 1 粒：
反式白藜芦醇（纯度≥98%） 300mg</t>
  </si>
  <si>
    <t>每日 1-2 粒，随餐服用
基础养护，每日 1 粒
强化管理，每日 2 粒</t>
  </si>
  <si>
    <t>18 岁以下未成年人，孕妇、哺乳期妇女不建议服用，其他病症请遵医嘱
不可与药物同服</t>
  </si>
  <si>
    <t>420mg</t>
  </si>
  <si>
    <t>女性益生菌：助力抵抗有害菌，平衡私密微生态，辅助基础肠道护理与免疫调节。丹麦科汉森专利菌株 UREX™，关爱女性私护健康。（大牌同规格原料同配方¥113-175/月，营养工厂¥52.25/月，每日仅需1.74元）
论文：https://pmc.ncbi.nlm.nih.gov/articles/PMC7071157/</t>
  </si>
  <si>
    <t>斯维诗女性益生菌和科立纯女性益生菌</t>
  </si>
  <si>
    <t>科汉森</t>
  </si>
  <si>
    <t>女性益生菌.jpg</t>
  </si>
  <si>
    <t>每 1 粒：UREX™ 50 亿 CFU（鼠李糖乳杆菌 GR-1、罗伊氏乳杆菌 RC-14）
低聚果糖     30mg</t>
  </si>
  <si>
    <t>UREX™</t>
  </si>
  <si>
    <t>1-2 粒/日
保养：1 粒/日
不适：2 粒/日
饭后半小时服用，水温不宜超过 40℃（食物能够中和胃酸，保护活菌）</t>
  </si>
  <si>
    <t>18 岁以下未成年人，存在免疫系统疾病，近期进行过手术者
其他病症请遵医嘱
不可与药物同服
如需服用抗生素，需间隔至少 3h，以免抗生素杀死活菌</t>
  </si>
  <si>
    <t>如需服用抗生素，与本品需间隔至少 3h，以免抗生素杀死活菌。</t>
  </si>
  <si>
    <t>请在 25°C 以下，密封、干燥、避光、阴凉的条件下储存</t>
  </si>
  <si>
    <t>浅粉色</t>
  </si>
  <si>
    <t>357mg</t>
  </si>
  <si>
    <t>L-硒代蛋氨酸</t>
  </si>
  <si>
    <t>L-硒代蛋氨酸：95% 高生物利用度，吸收与保留率优于无机硒与酵母硒，有助于提升免疫力，助力备孕，对全面保护心血管健康有益。（大牌同规格原料升级配方¥35-65/月，营养工厂¥12.38/月，每日仅需 0.41元）
论文：https://pmc.ncbi.nlm.nih.gov/articles/PMC8229699/</t>
  </si>
  <si>
    <t>1. Throne
2. 皇家橡树</t>
  </si>
  <si>
    <t>Sabinsa萨宾</t>
  </si>
  <si>
    <t>1粒（每份）
100mcg硒/粒（来自SeLECT ® L-硒代蛋氨酸）</t>
  </si>
  <si>
    <t>微晶纤维素、植物胶囊（羟丙基甲基纤维素）、硬脂酸镁、二氧化硅</t>
  </si>
  <si>
    <t>SeLECT ® L-硒代蛋氨酸</t>
  </si>
  <si>
    <t>每天 1 次，每次 1-2 粒，随餐服用
日常补充推荐 1 粒，如有医生建议的补充计划可每日 2 粒</t>
  </si>
  <si>
    <t>18岁以下未成年人，明确对硒过敏或不耐受的人群，有严重肝脏病，胆管疾病患者请勿服用，不可与药物同服，孕妇、哺乳期妇女建议在医生的指导下服用</t>
  </si>
  <si>
    <t>1.不建议与男维、女维同时/同天服用
2.硒元素成年人每日上限（UL）为400mcg</t>
  </si>
  <si>
    <t>常温密封储存</t>
  </si>
  <si>
    <t>4#胶囊</t>
  </si>
  <si>
    <t>儿童成长液体钙镁锌</t>
  </si>
  <si>
    <t>10091119</t>
  </si>
  <si>
    <t>UndoAge
Liquid Calcium with Magnesium &amp; Zinc</t>
  </si>
  <si>
    <t>儿童成长液体钙镁锌：有机钙镁锌好吸收，改善免疫助成长，对骨骼强健与身体发育有益，帮助提升身体活力。Double Nutri® 专利，3.6 倍高吸收，敏宝专研技术，不0 防腐剂、0 蔗糖、0 香精色素。（大牌同规格原料升级配方¥150-210/月，营养工厂 ¥71.2/月，每日仅需 2.97 元）
论文：http://link.springer.com/article/10.1007/s12011-015-0537-7</t>
  </si>
  <si>
    <t>inne</t>
  </si>
  <si>
    <t>台湾大江生医</t>
  </si>
  <si>
    <t>儿童钙镁锌.jpg</t>
  </si>
  <si>
    <t>每条含：
钙（来自950mg的柠檬酸钙）     200mg
镁 （柠檬酸镁）57mg
锌（柠檬酸锌）1.5mg
维生素K2（MK-7） 11mcg
维生素D3 400IU
L-赖氨酸 80mg</t>
  </si>
  <si>
    <t>水、苹果汁浓缩液、混合浆果汁浓缩液（苹果、蔓越莓、草莓、覆盆子、樱桃、黑加仑、醋栗）、海藻糖、紫胡萝卜汁浓缩液、酸（苹果酸）、酸度调节剂（柠檬酸钠）、乳化剂（大豆卵磷脂）、稳定剂（黄原胶、阿拉伯胶）、甜味剂（甜菊糖苷）。</t>
  </si>
  <si>
    <t>Double Nutri® 乳化专利技术（是专利技术，不是专利原料）</t>
  </si>
  <si>
    <t>Nr. 20 2020 107 243
JP 3231036</t>
  </si>
  <si>
    <t>1 岁及以上儿童、少儿及成年人</t>
  </si>
  <si>
    <t>1-4 岁 每天 1 条；4 岁以上，每天 2 条 分次服用
初次服用建议兑水稀释服用，水温不超过 60 度，
可直接吃或兑奶粉、温水及其他辅食</t>
  </si>
  <si>
    <t>1 岁以下不建议服用，儿童服用本品期间，不建议另外补充其他乳钙类产品，生病期间不建议服用</t>
  </si>
  <si>
    <t>与其他产品服用建议间隔至少 2 小时</t>
  </si>
  <si>
    <t>18 个月</t>
  </si>
  <si>
    <t>常温阴凉干燥处储存</t>
  </si>
  <si>
    <t>138mm*82mm*145mm</t>
  </si>
  <si>
    <t>30 条/盒</t>
  </si>
  <si>
    <t>15ml/条</t>
  </si>
  <si>
    <t>玻色因面霜</t>
  </si>
  <si>
    <t>护肤工厂 玻色因修护面霜</t>
  </si>
  <si>
    <t>UndoAge BOSEINE Recovery Cream</t>
  </si>
  <si>
    <t>玻色因修护面霜：蕴含 30% 专利玻色因溶液的肌肤温和抗老面霜，增强屏障的同时紧致修护，不添加香精，复配多种植萃舒缓泛红。对标千元大牌面霜，每天低至 1.65 元/天。</t>
  </si>
  <si>
    <t>赫莲娜黑绷带30玻色因面霜</t>
  </si>
  <si>
    <t>玻色因原料上海克琴</t>
  </si>
  <si>
    <t>韩国科玛无锡工厂</t>
  </si>
  <si>
    <t>无锡百世云仓</t>
  </si>
  <si>
    <t>顺丰快递</t>
  </si>
  <si>
    <t>1f8e7829583afdad459866a1dff8a1f3.jpg</t>
  </si>
  <si>
    <t>水、丁二醇、聚二甲基硅氧烷、丙二醇、羟丙基四氢吡喃三醇、甘油、聚乙烯、环己硅氧烷、聚甲基倍半硅氧烷、淀粉辛烯基琥珀酸铝、聚二甲基硅氧烷 PEG - 10 / 15 交联聚合物、甘油山嵛酸酯 / 二十烷二酸酯、月桂基 PEG - 9 聚二甲基硅氧乙基聚二甲基硅氧烷、1,2 - 己二醇、纯地蜡、硫酸镁、苯氧乙醇、PEG - 10 聚二甲基硅氧烷、CI 77163、羟基硬脂酸乙基己酯、腺苷、甘草酸二钾、乙基己基甘油、EDTA 二钠、双丙甘醇、柠檬酸钠、白薇（CYNANCHUM ATRATUM）提取物、氢化卵磷脂、焦糖色、生育酚 ( 维生素 E )、胆甾醇、泛醇、对羟基苯乙酮、欧洲越桔（VACCINIUM MYRTILLUS）籽油、神经酰胺 NP、聚甘油 - 10 硬脂酸酯、氨丁三醇、1,2 - 戊二醇、乙酰化透明质酸钠、透明质酸钠、透明质酸钠交联聚合物、水解透明质酸钠</t>
  </si>
  <si>
    <t>¥94.00</t>
  </si>
  <si>
    <t>Proyouth® 专利玻色因</t>
  </si>
  <si>
    <t>ZL 2021 1 0793668.6</t>
  </si>
  <si>
    <t>根据肤质和护肤习惯，每日使用 1-2 次。
取适量本品均匀涂抹于面部肌肤，轻轻按摩至吸收即可。</t>
  </si>
  <si>
    <t>1. 使用时如有斑点、痒、刺激等异常情况，请立即停止使用或咨询医生。
2. 伤口、湿疹、皮肤炎症等部位禁止使用。
3. 请勿放在高温、低温处，避免日光直接照射。
4. 请勿放置于婴幼儿可触及处。</t>
  </si>
  <si>
    <t>30个月</t>
  </si>
  <si>
    <t>请勿放在高温、低温处，避免日光直接照射。</t>
  </si>
  <si>
    <t>76.5mm*75.5mm*62.5mm</t>
  </si>
  <si>
    <t>bfd2eda310ad217e7e7510bbcb76a5d3.jpg</t>
  </si>
  <si>
    <t>d1c15cc3bf68c3b9374db9b2b547601e.jpg</t>
  </si>
  <si>
    <t>白色膏体</t>
  </si>
  <si>
    <t>50 克/罐</t>
  </si>
  <si>
    <t>胶原蛋白肽、胶原三肽</t>
  </si>
  <si>
    <t>UndoAge COLLAGEN PEPTIDE EGCG DRINK</t>
  </si>
  <si>
    <t>胶原蛋白肽 EGCG 饮：口服胶原三肽可显著改善皮肤胶原密度、水合度和弹性。每支足量添加 8000mg 胶原蛋白三肽，采用 WMTY® 专利鲜活胶原，从鱼鳞到成品仅需 6 小时免烘干保活性；1000Da 小分子肽可实现 1.5 倍高效吸收，并特别添加 NUGLY OB® 壳寡糖进一步提升 1.4 倍吸收度，专为 25~40 岁人群快速补充流失的皮肤养分。（市面同品质 ¥170-250/盒，营养工厂 ¥49/盒，每日仅需 4.9 元）
论文：https://pubmed.ncbi.nlm.nih.gov/41918155/</t>
  </si>
  <si>
    <t>五个女博士 胶原蛋白肽EGCG饮</t>
  </si>
  <si>
    <t>未名太研</t>
  </si>
  <si>
    <t>天津仓</t>
  </si>
  <si>
    <t>每 1 瓶：胶原三肽液（含肽8000mg/瓶）、浓缩百香果汁、水蜜桃浓缩汁、梨浓缩汁、赤藓糖醇、鲣鱼弹性蛋白肽（100mg/瓶）、γ-氨基丁酸（100mg/瓶）、透明质酸钠（100mg/瓶）、壳寡糖、表没食子儿茶素没食子酸酯(EGCG）（100mg/瓶）、紫胡萝卜浓缩汁、烟酰胺、葡萄糖酸锌、维生素C、柠檬酸、DL-苹果酸、黄原胶</t>
  </si>
  <si>
    <t>众筹中，待生产后确认</t>
  </si>
  <si>
    <t>WMTY® 鲜活肽</t>
  </si>
  <si>
    <t>ZL 2024 1 1583838.8</t>
  </si>
  <si>
    <t>婴幼儿、孕妇、哺乳期妇女以外人群。</t>
  </si>
  <si>
    <t>摇匀后开瓶即饮，每日一瓶。</t>
  </si>
  <si>
    <t>婴幼儿、孕妇、哺乳期妇女请遵医嘱
有其他病症请遵医嘱
致敏物质：本品含鱼类制品</t>
  </si>
  <si>
    <t>常温保存，开封后请尽快饮用。</t>
  </si>
  <si>
    <t xml:space="preserve"> 50ml/支</t>
  </si>
  <si>
    <t>锌镁肌酸</t>
  </si>
  <si>
    <t xml:space="preserve"> UndoAge Zinc Magnesium Creatine Powder</t>
  </si>
  <si>
    <t>锌镁肌酸粉：肌酸是健身圈公认的 A 类补剂，肌酸可以增加人体内磷酸肌酸的储备，不仅对运动表现的提升有重大意义，而且在认知方面也有健康益处。锌支持睾酮合成与蛋白质代谢，镁保障能量代谢与神经肌肉功能，三者协同增效，全面支持训练表现与恢复。大牌同原料配方每月 53.4-118.8 元，营养工厂27 元/月，每天低至 0.9 元/月。</t>
  </si>
  <si>
    <t>康比特锌镁肌酸粉</t>
  </si>
  <si>
    <t>泰格生物科技有限公司</t>
  </si>
  <si>
    <t>艾兰得 IVCX</t>
  </si>
  <si>
    <t>每份 6g：
一水肌酸 2.76g
镁 147mg（来自葡萄糖酸镁）
锌 9.17mg（来自乳酸锌）</t>
  </si>
  <si>
    <t>无</t>
  </si>
  <si>
    <t>需要提升速度力量的运动人群</t>
  </si>
  <si>
    <t>每日1次，每次取本品 6g（约 1 勺）加入 300 毫升水中，冲溶后于运动前 30 分钟至 1 小时或运动后 2 小时内饮用</t>
  </si>
  <si>
    <t>孕妇、哺乳期妇女；儿童及婴幼儿不适宜使用</t>
  </si>
  <si>
    <t>1.镁元素每日服用上限 UL为 350mg，苏糖酸镁、男性复合维生素、锌镁肌酸粉中均含有镁元素，服用时需注意剂量
2.锌元素每日服用上限 UL 为 40mg，牡蛎精、锌镁肌酸粉、男维、女维、槲皮素、玛卡、养胃益生菌、胶原蛋白肽产品中均含有锌，服用时需注意剂量</t>
  </si>
  <si>
    <t>24 个月</t>
  </si>
  <si>
    <t>密封、避光，置于阴凉干燥处保存</t>
  </si>
  <si>
    <t>300g/瓶</t>
  </si>
  <si>
    <t>膳食纤维、瓜尔豆纤维、部分水解瓜尔胶</t>
  </si>
  <si>
    <t>UndoAge PREBIOTIC FIBER POWDER</t>
  </si>
  <si>
    <t>益生元纤维粉：调节肠道菌群、改善排便规律、调节代谢指标、助力体重管理。作为益生菌的“黄金搭档”，精选天然瓜尔豆纤维 Fibalance® PHGG、阿拉伯胶与水苏糖科学配比 3 重益生元；0 辅料纯净配方，无色无味隐形百搭；荣获中国首款低 FODMAP 权威认证，温和不易胀气，并经 CTI 华测权威机构 28 天真人实测，专为久坐、长期外卖及蔬果摄入少人群研发。（市面同品质 ¥130-200/月，营养工厂 ¥59/月，每日仅需 1.9 元）
论文：https://pubmed.ncbi.nlm.nih.gov/12781858/</t>
  </si>
  <si>
    <t>雀巢 OptiFibre 纤维乐</t>
  </si>
  <si>
    <t>赞倍司</t>
  </si>
  <si>
    <t>普维安健</t>
  </si>
  <si>
    <t>每 1 条：Fibalance®半乳甘露聚糖（部分水解瓜尔胶 PHGG） 5g
水苏糖 0.2g
阿拉伯胶 0.8g</t>
  </si>
  <si>
    <t>Fibalance® 半乳甘露聚糖</t>
  </si>
  <si>
    <t>PCT/CN2023/095287</t>
  </si>
  <si>
    <t>全年龄段人群适宜。儿童（3岁及以上）、成人、中老年皆可食用。</t>
  </si>
  <si>
    <t>成人建议每天服用 1 条（6克），应个人需要可逐渐增加用量。每天用量不超过 4 条（24克）。
将 1 条本品加入 200 毫升任何冷热饮品（水、咖啡、茶、果汁等）或食品（乳酪、粥等）中，搅拌均匀后食用。</t>
  </si>
  <si>
    <t>如有漏气结块请勿食用
孕妇、哺乳期妇女请遵医嘱
有其他病症请遵医嘱</t>
  </si>
  <si>
    <t>阴凉干燥，开袋后请尽快食用。</t>
  </si>
  <si>
    <t>6g/条</t>
  </si>
  <si>
    <t>6g</t>
  </si>
  <si>
    <t>儿童复合益生菌</t>
  </si>
  <si>
    <t>ETY1016401</t>
  </si>
  <si>
    <t>儿童益生菌</t>
  </si>
  <si>
    <t>UndoAge COMPLEX PROBIOTIC POWDER</t>
  </si>
  <si>
    <t>儿童复合益生菌：改善宝宝过敏症状、改善肠道功能、增强免疫力。每条出厂活菌超 210 亿 CFU，精选 M-16V 明星舒敏菌等 6 种卫健委批准的婴幼儿可用菌株，搭配低聚果糖与水苏糖 2 大天然益生元，0 添加配方，通过 112 项严苛检测，宝宝吃得安全放心。（市面同品质 ¥170-300/月，营养工厂 ¥75/月，每日仅需 2.5 元）
论文：https://pubmed.ncbi.nlm.nih.gov/40085083/</t>
  </si>
  <si>
    <t>妈咪爱 小恐龙舒敏益生菌</t>
  </si>
  <si>
    <t>善恩康</t>
  </si>
  <si>
    <t>营养工厂-儿童益生菌-电子说明书0429.pdf</t>
  </si>
  <si>
    <t>每 1 条：鼠李糖乳酪杆菌GG（64 亿 CFU）
动物双歧杆菌乳亚种Bb-12（63 亿 CFU）
鼠李糖乳酪杆菌HN001（30 亿 CFU）
动物双歧杆菌乳亚种HN019（30 亿 CFU）
短双歧杆菌M-16V（13 亿 CFU）
动物双歧杆菌乳亚种Bi-07（10 亿 CFU）
益生元：低聚果糖（1.3g）、水苏糖（0.1g）</t>
  </si>
  <si>
    <t>0岁及以上宝宝可用</t>
  </si>
  <si>
    <t>每日 1 次，每次 1 袋，饭后半小时食用。
开袋即食（仅限于具备咀嚼吞咽能力的人群），也可将本品与温水、牛奶或者其它饮品混合均匀后饮用（温水、牛奶等的温度应≤37℃）。</t>
  </si>
  <si>
    <t>如有漏气结块请勿食用
孕妇、哺乳期妇女请遵医嘱
有其他病症请遵医嘱
建议本品不与抗生素同时食用，服用抗生素后两小时再食用益生菌会减少抗生素对益生菌的破坏</t>
  </si>
  <si>
    <t>阴凉干燥，开袋后请尽快食用</t>
  </si>
  <si>
    <t>248mm*73mm*116mm</t>
  </si>
  <si>
    <t>3737d27a7f51e32fc3512f017df0337f.jpg</t>
  </si>
  <si>
    <t>0225【转曲】-儿童益生菌包装.pdf</t>
  </si>
  <si>
    <t>120 条/盒</t>
  </si>
  <si>
    <t>1.5g</t>
  </si>
  <si>
    <t>中老年男士多维生素与矿物质片</t>
  </si>
  <si>
    <t>UndoAge Multivitamin and Mineral Tablets for Middle-Aged and Senior Men</t>
  </si>
  <si>
    <t>中老年男士复合维生素：专为男士定制，含 16 种科学剂量营养素：12 种维生素 + 4大核心矿物质，搭配锌、硒，蓝帽子认证，每日所需营养量，科学配比，无铁配方，中老年男士更友好。（大牌同规格原料配方¥25-40/月，营养工厂¥ 9/月，每日仅需0.3元）
论文：https://pmc.ncbi.nlm.nih.gov/articles/PMC5852824/</t>
  </si>
  <si>
    <t>善存中老年男士复合维生素</t>
  </si>
  <si>
    <t>-</t>
  </si>
  <si>
    <t>百合</t>
  </si>
  <si>
    <t>每1 片含量：
钙（碳酸钙）：260.0mg
镁（氧化镁）：85.0mg
锌（葡萄糖酸锌）：12.0mg
硒（富硒酵母）：26.0μg
维生素A（醋酸视黄酯）：395.0μg
维生素D3（维生素D3）：7.1μg
维生素B1（盐酸硫胺素）：5.0mg
维生素B2（核黄素）：5.0mg
维生素B6（盐酸吡哆醇）：5.0mg
维生素B12（氰钴胺）：2.5μg
烟酸（烟酸）：7.2mg
叶酸（叶酸）：250.0μg
生物素（D-生物素）：50.0μg
维生素C（L-抗坏血酸）：100.0mg
泛酸（D-泛酸钙）：3.0mg
维生素E（dl-α-醋酸生育酚）：12.0mg</t>
  </si>
  <si>
    <t>麦芽糊精，微晶纤维素，聚维酮 K30，羧甲基淀粉钠，硬脂酸镁，包衣预混剂（羟丙基甲基纤维素，普鲁兰多糖，二氧化钛，柠檬黄铝色淀）</t>
  </si>
  <si>
    <t>每日1次， 每次1片，食用方法：吞食</t>
  </si>
  <si>
    <t>本品不能代替药物。适宜人群外的人群不推荐食用本产品。不宜超过推荐量或与同类营养素同时食用；高硒地区人群不宜食用</t>
  </si>
  <si>
    <t>淡黄色</t>
  </si>
  <si>
    <t>中老年女士多维生素与矿物质片</t>
  </si>
  <si>
    <t>UndoAge Multivitamin and Mineral Tablets for Middle-Aged and Senior Women</t>
  </si>
  <si>
    <t>中老年女士复合维生素：专为女士定制，含 19 种科学剂量营养素：13 种维生素 + 6大核心矿物质，蓝帽子认证，每日所需营养量，科学配比，低铁配方，中老年女士更友好。（大牌同规格原料配方¥25-40/月，营养工厂¥ 9/月，每日仅需0.3元）
论文：https://pmc.ncbi.nlm.nih.gov/articles/PMC5852824/</t>
  </si>
  <si>
    <t>善存中老年女士复合维生素</t>
  </si>
  <si>
    <t>艾兰得  IVCN</t>
  </si>
  <si>
    <t>每1 片含量：钙（碳酸钙）：260mg
镁（氧化镁）：90mg
铁（焦磷酸铁）：8mg
锌（氧化锌）：10mg
锰（硫酸锰）：1.4mg
硒（富硒酵母）：30µg
维生素A（醋酸视黄酯）：440µg
维生素D3（维生素D3）：5µg
维生素E（dl-α-醋酸生育酚、dl-α-生育酚）：14mg
维生素K1（维生素K1）：30µg
维生素C（L-抗坏血酸钙、L-抗坏血酸钠）：110mg
维生素B1（硝酸硫胺素）：4mg
维生素B2（核黄素）：4mg
维生素B6（盐酸吡哆醇）：5mg
维生素B12（氰钴胺）：3µg
烟酰胺（烟酰胺）：20mg
泛酸（D-泛酸钙）：6mg
叶酸（叶酸）：240µg
生物素（D-生物素）：42µg</t>
  </si>
  <si>
    <t>微晶纤维素，食用玉米淀粉，羟丙基甲基纤维素，交联羧甲纤维素钠，麦芽糊精，聚乙烯醇，二氧化硅，硬脂酸镁，滑石粉，辛，癸酸甘油酯，羧甲基纤维素钠，日落黄，磷酸三钙，L（+）- 酒石酸，诱惑红，食用葡萄糖，明胶，阿拉伯胶，白砂糖，蔗糖，辛烯基琥珀酸淀粉钠，二丁基羟基甲苯（BHT）</t>
  </si>
  <si>
    <t>橙色</t>
  </si>
  <si>
    <t>复合维生素 B 族</t>
  </si>
  <si>
    <t>UndoAge  B-Complex Vitamins</t>
  </si>
  <si>
    <t>活性B族：8 种 B 族添加，蓝帽认证，适宜日常基础补充。（大牌规格升级配方¥23/月，营养工厂¥5.85/月，每日仅需 2.63 元）
论文：https://www.mdpi.com/2072-6643/8/2/68</t>
  </si>
  <si>
    <t>汤臣倍健复合多种维生素 B族</t>
  </si>
  <si>
    <t>每1片含：维生素B1（硝酸硫胺素）：14.5mg
维生素B2（核黄素）：14.5mg
维生素B6（盐酸吡哆醇）：7mg
维生素B12（氰钴胺）：6μg
烟酰胺（烟酰胺）：36mg
叶酸（叶酸）：361μg
生物素（D-生物素）：67.5μg
泛酸（D-泛酸钙）：14mg</t>
  </si>
  <si>
    <t>碳酸钙，微晶纤维素，食用玉米淀粉，麦芽糊精，羟丙基甲基纤维素，聚乙烯醇，硬脂酸镁，二氧化硅，交联羧甲纤维素钠，滑石粉，聚维酮 K30，焦糖色，羧甲基纤维素钠，辛，癸酸甘油酯，磷酸三钙，日落黄铝色淀</t>
  </si>
  <si>
    <t>本品不能代替药物。适宜人群外的人群不推荐食用本产品。不宜超过推荐量或与同类营养素同时食用</t>
  </si>
  <si>
    <t>1. 与胶原蛋白肽、R-硫辛酸间隔 3h 及以上
2. 不可与男维、女维同时或同天服用</t>
  </si>
  <si>
    <t>0.8g</t>
  </si>
  <si>
    <t>EPA 鱼油</t>
  </si>
  <si>
    <t>UndoAge Fish Oil High EPA 97%</t>
  </si>
  <si>
    <t>EPA：IFOS 权威认证的 97% 高纯度EPA鱼油，EE经典构型，含人体必需的 Omega-3 脂肪酸（秘鲁深海小鱼，远离污染），针对情绪调节，专精甘油三酯与心血管健康（海鲜过敏者慎用）（大牌同标准原料同配方¥200-300/月，营养工厂 ¥95/月，每日仅需 3.17 元）论文：https://pubmed.ncbi.nlm.nih.gov/30415628/</t>
  </si>
  <si>
    <t>WHC小天使EPA鱼油</t>
  </si>
  <si>
    <t>第一批欣美加/后续 KD</t>
  </si>
  <si>
    <t>每 2 粒：
鱼油 1240mg
总 Omega-3 1215mg
-EPA  1202mg
-DHA &lt;13 mg</t>
  </si>
  <si>
    <t>每天服用 2- 4 粒软胶囊
日常补充：每日 2 粒
情绪管理：每日 2 粒
深度养护：每日 2 次，每次 2 粒</t>
  </si>
  <si>
    <t>1. 18 岁以下未成年人、孕期、哺乳期妇女或使用血液稀释剂人群请在服用前咨询您的医生；其他病症请遵医嘱。
2. 对海鲜或鱼类过敏者不建议服用。
3. 心血管疾病高危人群或有房颤病史者、严重肝病患者不建议服用。
4. EPA+DHA 每日摄入量不得超过 5 克。
5. 本品不用于诊断、治疗、治愈或者预防任何疾病，且不可与药物同服。</t>
  </si>
  <si>
    <t>1. EPA+DHA 每日摄入量不得超过 5 克。
2. 避免在使用抗凝/抗血小板药物（华法林、阿哌沙班、利伐沙班、氯吡格雷等）时服用鱼油。</t>
  </si>
  <si>
    <t>【鱼油EPA】外盒0429.pdf</t>
  </si>
  <si>
    <t>830mg</t>
  </si>
  <si>
    <t>620mg</t>
  </si>
  <si>
    <t>出厂活菌 ≥640 亿 CFU/条
动物双歧杆菌乳亚种 Bb-12（200 亿 CFU）
植物乳植杆菌 Lp-116 (DSM 9843)（100 亿 CFU）
动物双歧杆菌乳亚种 Bl-04（80 亿 CFU）
动物双歧杆菌乳亚种 Bi-07（50 亿 CFU）
副干酪乳酪杆菌 Lpc-37（50 亿 CFU）
嗜酸乳杆菌 NCFM（50 亿 CFU）
动物双歧杆菌乳亚种 HN019（50 亿 CFU）
乳酸乳球菌乳酸亚种 Ll-23（40 亿 CFU）
两歧双歧杆菌 Bb-06（10 亿 CFU）
干酪乳酪杆菌 Lc-11（10 亿 CFU）
益生元：抗性糊精、LITESSE®聚葡萄糖、乳糖醇、水苏糖</t>
  </si>
  <si>
    <t>成人、中老年皆可食用。</t>
  </si>
  <si>
    <t>每日 1 次，每次 1 条，饭后半小时食用
开袋即食，也可将本品与温水、牛奶或者其它饮品混合均匀后饮用（温水、牛奶等的温度应≤37℃）</t>
  </si>
  <si>
    <t>产品功效（主要功效）</t>
  </si>
  <si>
    <t>论文名称</t>
  </si>
  <si>
    <t>论文内容总结</t>
  </si>
  <si>
    <t>论文链接</t>
  </si>
  <si>
    <t>影响因子</t>
  </si>
  <si>
    <t>心血管</t>
  </si>
  <si>
    <t>鱼油增强低剂量环磷酰胺方案治疗增殖性狼疮性肾炎的疗效：一项随机对照双盲试验</t>
  </si>
  <si>
    <t>一项随机双盲对照试验研究了237名增殖性狼疮性肾炎患者，给予泼尼松+环磷酰胺+安慰剂或泼尼松+环磷酰胺+鱼油（每天三次，每次1g鱼油）8个月的干预，结果显示鱼油组患者完全缓解率更高，且相关肾炎指标改善更显著，表明鱼油可作为狼疮性肾炎治疗的潜在辅助药物。</t>
  </si>
  <si>
    <t>麦角硫因+谷胱甘肽</t>
  </si>
  <si>
    <t>认知、神经</t>
  </si>
  <si>
    <t>考察麦角硫因延缓轻度认知障碍受试者认知衰退的有效性：一项初步研究</t>
  </si>
  <si>
    <t>一项由新加坡国立大学等机构开展的先导研究，选取了 19 名 60 岁及以上轻度认知障碍患者，给予其每天三次、持续一年的25毫克麦角硫因干预，结果显示麦角硫因摄入未改变临床安全指标，且与安慰剂组相比，其在学习能力评估中表现更好，神经丝轻链水平保持稳定。</t>
  </si>
  <si>
    <t>TMG甜菜碱</t>
  </si>
  <si>
    <t>肝脏</t>
  </si>
  <si>
    <t>甜菜碱用于预防和治疗C57BL小鼠高脂饮食胰岛素抵抗模型中的胰岛素抵抗和脂肪肝</t>
  </si>
  <si>
    <t>一项动物实验研究，选取C57BL 6J小鼠作为研究对象，分别给予标准饮食、含甜菜碱的标准饮食、高脂饮食以及含甜菜碱的高脂饮食，干预周期为14周。结果显示，高脂饮食组小鼠体重增加、肝脏脂肪变性更严重且葡萄糖耐受性异常；而甜菜碱补充可降低全身胰岛素抵抗，增加肝脏胰岛素信号通路的激活，并减轻肝脏损伤。</t>
  </si>
  <si>
    <t>神经</t>
  </si>
  <si>
    <t>L-苏糖酸镁通过调节微生物群-肠-脑轴治疗阿尔茨海默病</t>
  </si>
  <si>
    <t>一项动物实验研究发现，每日给予APP/PS1转基因小鼠910mg/kg的苏糖酸镁（MgT）持续一个月，能够改善认知功能、减轻氧化应激和炎症，同时调节肠道微生物群结构，增加有益菌群丰度，减少有害菌群，为阿尔茨海默病的治疗提供了新思路。</t>
  </si>
  <si>
    <t>补充欧米伽-3脂肪酸、类胡萝卜素和维生素E可改善老年人的工作记忆：一项随机临床试验</t>
  </si>
  <si>
    <t>一项随机对照临床试验研究了 65 岁以上认知健康老年人每日补充 1 克鱼油（含 430 毫克DHA和 90 毫克 EPA）、22 毫克类胡萝卜素（含 10 毫克叶黄素、10 毫克玉米黄质和 2 毫克玉米黄质）和 15 毫克维生素 E，为期 24 个月对工作记忆的影响，结果显示干预组在工作记忆任务中的错误显著减少。</t>
  </si>
  <si>
    <t>认知</t>
  </si>
  <si>
    <t>每日补充40毫克亚精胺对循环多胺影响极小：一项针对老年男性的探索性双盲随机对照试验</t>
  </si>
  <si>
    <t>一项探索性双盲随机对照试验研究了40mg/天的高纯度精胺三水合氯醛补充剂（hpSPD）对老年男性循环多胺的最小影响。结果显示，7天和28天的给药期间，与安慰剂相比，hpSPD并未导致任何显著的临床、血脂、生化或血液学参数变化，且未报告任何与研究产品相关的不良事件。</t>
  </si>
  <si>
    <t>血脂</t>
  </si>
  <si>
    <t>姜黄素摄入对糖尿病足溃疡患者伤口愈合和代谢状态的影响：一项随机、双盲、安慰剂对照试验</t>
  </si>
  <si>
    <t>一项随机双盲安慰剂对照试验研究了60名3级糖尿病足溃疡患者，结果显示每日摄入80毫克纳米姜黄素12周后，患者的空腹血糖、胰岛素、胰岛素抵抗、总胆固醇和低密度脂蛋白胆固醇等指标显著改善，但溃疡面积等指标未见显著改善。</t>
  </si>
  <si>
    <t>血糖</t>
  </si>
  <si>
    <t xml:space="preserve"> R(+)-硫辛酸对 2 型糖尿病患者氧化应激及周围神经病变的影响：基于电子顺磁共振和神经电图的初步结果</t>
  </si>
  <si>
    <t>一项初步研究评估了 R(+)-硫辛酸对 2 型糖尿病患者氧化应激和周围神经病变的影响。研究对象为 12 名 2 型糖尿病周围神经病变患者，他们每天服用 1.6 克 R(+)-硫辛酸，持续 120 天。结果显示，R(+)-硫辛酸能显著降低活性氧生成率，改善神经传导速度和患者的一般健康感。</t>
  </si>
  <si>
    <t>女性健康</t>
  </si>
  <si>
    <t>一种新型植物组合对西班牙绝经女性生活质量的影响：一项随机、安慰剂对照试点研究的结果</t>
  </si>
  <si>
    <t>一项随机双盲对照试验研究了含有大豆异黄酮提取物（100 mg）、高良姜种子干提取物（50 mg）和石榴皮干提取物（100 mg）的植物提取物组合对西班牙绝经期女性生活质量的影响，57 名 45-65 岁女性每日服用 250 mg 该植物组合，持续 8 周，结果显示植物提取物组在整体健康相关生活质量评分和绝经过渡期及健康领域评分上显著改善。</t>
  </si>
  <si>
    <t>抗氧、性生活</t>
  </si>
  <si>
    <t>牡蛎肽对小鼠酒精性肝病的保肝作用</t>
  </si>
  <si>
    <t>一项动物实验研究以小鼠为对象，探究了牡蛎肽对酒精性肝病的保护作用。实验中，小鼠每日接受不同剂量的牡蛎肽（120、240和480 mg/kg体重）或等体积的生理盐水，持续 6 周。结果显示，牡蛎肽能显著降低血清中 AST、ALT、GGT 活性以及肝脏中的氧化应激和炎症因子水平，对酒精性肝病具有显著的保护效果。</t>
  </si>
  <si>
    <t>护肝胶囊</t>
  </si>
  <si>
    <t>基因变异对非酒精性脂肪性肝病营养补充剂治疗反应的影响：一项随机对照试验</t>
  </si>
  <si>
    <t>一项随机对照试验研究了 PNPLA3、TM6SF2 和 MBOAT7 基因变异对非酒精性脂肪性肝病（NAFLD）患者营养补充剂治疗反应的影响。92 名活检证实的 NAFLD 患者接受 303 毫克水飞蓟素——磷脂复合物、10 微克维生素 D 和 15 毫克维生素 E 每日两次，持续 6 个月的治疗。结果显示野生型治疗组在血糖、胰岛素、HOMA——IR、ALT、CRP 和 TBARS 等指标上显著改善，而变异型治疗组未观察到改善。</t>
  </si>
  <si>
    <t>复合维生素（男/女）</t>
  </si>
  <si>
    <t>维生素 E（300 毫克）治疗代谢相关脂肪性肝炎：一项多中心、随机、双盲、安慰剂对照研究</t>
  </si>
  <si>
    <t>一项多中心随机双盲安慰剂对照研究显示，每日给予非糖尿病代谢功能障碍相关脂肪性肝炎患者 300 毫克维生素 E 治疗 96 周，可显著改善肝脏组织学特征，包括脂肪肝、小叶炎症和纤维化阶段，同时降低肝硬度测量值及肝酶和促炎细胞因子水平，对血脂和血糖轮廓影响不大。</t>
  </si>
  <si>
    <t>血管、心血管、血液</t>
  </si>
  <si>
    <t>纳豆激酶对动脉粥样硬化进展和高脂血症的有效管理：一项涉及 1062 名参与者的临床研究</t>
  </si>
  <si>
    <t>纳豆激酶可有效管理动脉粥样硬化和高脂血症</t>
  </si>
  <si>
    <t>一项多中心、随机、双盲、安慰剂对照研究：锯棕榈果实提取物对日本女性泌尿系统症状的有益作用</t>
  </si>
  <si>
    <t>一项多中心随机双盲安慰剂对照研究显示，日本女性受试者每天服用 320 毫克的锯棕榈果提取物，持续 12 周，可显著改善与膀胱过度活动相关的日间排尿频率和夜间尿频等症状。</t>
  </si>
  <si>
    <t>抗炎</t>
  </si>
  <si>
    <t>补充虾青素可轻度降低氧化应激和炎症生物标志物：一项随机对照试验的系统评价和荟萃分析</t>
  </si>
  <si>
    <t>一项系统评价和元分析研究了虾青素对氧化应激和炎症生物标志物的影响，纳入了 12 项随机对照试验，涉及 380 名参与者。研究中虾青素干预剂量从每天 4 毫克到 20 毫克不等，持续 4 周到 12 个月。结果显示，与安慰剂相比，虾青素显著降低了血液丙二醛浓度，尤其在 2 型糖尿病患者中效果显著。</t>
  </si>
  <si>
    <t>注意力</t>
  </si>
  <si>
    <t>膳食吡咯并喹啉醌二钠盐对健康志愿者认知功能的影响：一项随机、双盲、安慰剂对照、平行组研究</t>
  </si>
  <si>
    <t>PQQ 可显著改善记忆、注意力和认知灵活性</t>
  </si>
  <si>
    <t>免疫力</t>
  </si>
  <si>
    <t>每日补充 500 毫克基于卵磷脂递送形式的槲皮素，持续两个月可缓解慢性疲劳症状：一项双盲安慰剂对照临床试验</t>
  </si>
  <si>
    <t>一项双盲安慰剂对照临床试验研究了每日补充 500 mg 的槲皮素磷脂复合物 2 个月对慢性疲劳症状的影响。结果显示，补充组在疲劳影响量表（FIS-40）上的平均得分显著降低，表明疲劳症状得到缓解。</t>
  </si>
  <si>
    <t>焦虑、压力</t>
  </si>
  <si>
    <t>补充印度人参对焦虑和压力管理是否有有益作用？一项随机对照试验的系统评价和荟萃分析</t>
  </si>
  <si>
    <t>一项系统评价和元分析研究了南非醉茄对焦虑和压力的管理效果。研究对象为 18 岁及以上成年人，涉及的南非醉茄提取物剂量从 240 至 12000 毫克/天，干预周期从 8 至 12 周。结果显示南非醉茄补充剂显著降低了焦虑和压力水平，尤其是剂量在 600 毫克/天及以上时效果更为显著。</t>
  </si>
  <si>
    <t>骨关节</t>
  </si>
  <si>
    <t>低剂量补充姜黄半乳甘露聚糖复合物对膝骨关节炎的影响：一项随机、开放标签、阳性对照临床试验</t>
  </si>
  <si>
    <t>一项随机开放标签临床试验研究了低剂量补骨脂糖胶乳糖苷复合物（CurQfen）对膝关节骨关节炎的影响，试验对象为 84 名膝关节骨关节炎患者，干预物为每日 400 毫克的补骨脂糖胶乳糖苷复合物，持续 6 周。结果显示，补骨脂糖胶乳糖苷复合物与标准药物组合（500 毫克氨基葡萄糖和 415 毫克软骨素硫酸盐）在减轻疼痛和症状方面效果方面都十分有效。</t>
  </si>
  <si>
    <t>维生素D3K2钙</t>
  </si>
  <si>
    <t>大剂量维生素 D3 治疗重度急性营养不良：一项多中心双盲随机对照试验</t>
  </si>
  <si>
    <t>一项多中心双盲随机对照试验研究了高剂量维生素 D3 对患有严重急性营养不良的儿童的影响，试验中 6 至 58 个月大的儿童随机分配接受 200,000IU 维生素 D3 或安慰剂，每 2 和 4 周一次，结果显示高剂量维生素 D3 能显著提高儿童的体重身高 Z 评分，并降低发育迟缓的比例。</t>
  </si>
  <si>
    <t>DHA藻油</t>
  </si>
  <si>
    <t>脑部</t>
  </si>
  <si>
    <t>喂养高剂量二十二碳六烯酸的早产儿神经发育结局：一项随机对照试验</t>
  </si>
  <si>
    <t>一项随机双盲对照试验研究了早产儿喂养高剂量二十二碳六烯酸（DHA）对神经发育的影响。研究对象为 33 周前出生的早产儿，干预物为从出生后第 2 至 4 天起至校正胎龄期，喂养含 1% 总脂肪酸的高 DHA 肠内营养液或含 0.3% 总脂肪酸的标准营养液。结果显示，女孩接受高 DHA 喂养的贝利智力发育指数得分显著高于接受标准 DHA 喂养的女孩。</t>
  </si>
  <si>
    <t>有机硒</t>
  </si>
  <si>
    <t>补充硒元素对抑制人类免疫缺陷病毒 1 型病毒载量的影响：一项随机对照试验</t>
  </si>
  <si>
    <t>一项随机对照试验研究了硒补充剂对人类免疫缺陷病毒（HIV）患者的影响，450 名 HIV-1 血清阳性男女参与，每天给予 200 微克的高硒酵母，持续 9 个月。结果显示，硒治疗组血清硒浓度显著增加，与降低 HIV-1 病毒载量及提高 CD4 计数相关，表明硒补充可能抑制 HIV-1 病毒负荷并间接改善免疫功能。</t>
  </si>
  <si>
    <t>抗氧</t>
  </si>
  <si>
    <t>海鱼皮胶原蛋白多肽的吸湿保湿性能及其减轻皮肤光损伤的活性</t>
  </si>
  <si>
    <t>一项动物实验研究以 ICR 雄性小鼠为对象，给予不同剂量（50mg/kg 和 200mg/kg）的鳕鱼皮胶原蛋白肽（CP1 和 CP2）处理 2 周，结果显示胶原蛋白肽能显著减轻紫外线辐射引起的皮肤光损伤，提高皮肤的保湿和抗氧化能力，增强免疫力。</t>
  </si>
  <si>
    <t>睡眠</t>
  </si>
  <si>
    <t>褪黑素口服以及使用耳塞和眼罩对模拟重症监护病房环境下健康受试者夜间睡眠的影响</t>
  </si>
  <si>
    <t>一项模拟 ICU 环境下的干预研究，选取 40 名健康受试者，分别给予耳塞眼罩、安慰剂或 1 毫克口服褪黑素，连续 4 天干预后发现，褪黑素能更有效地改善睡眠质量，减少觉醒次数，并提高血清褪黑素水平。</t>
  </si>
  <si>
    <t>玛卡+喜来芝</t>
  </si>
  <si>
    <t>补充喜来芝玛卡对疲劳引起的肌肉力量下降和血清羟脯氨酸水平的影响</t>
  </si>
  <si>
    <t>一项双盲、安慰剂对照研究，选取 63 名健康男性为研究对象，分别给予 250mg/天和 500mg/天的喜来芝玛卡补充剂或安慰剂，持续 8 周。结果显示，500mg/天剂量组在疲劳后最大自愿等长收缩力量的下降幅度显著小于 250mg/天组和安慰剂组，且该剂量组的血清羟脯氨酸水平也显著降低。</t>
  </si>
  <si>
    <t>胃肠道</t>
  </si>
  <si>
    <t>罗伊氏乳杆菌 DSMZ 17648 不可培养体（派洛帕斯™）：一种控制人类幽门螺杆菌的新方法</t>
  </si>
  <si>
    <t>一项随机双盲安慰剂对照研究，选取 22 名幽门螺杆菌感染的无症状成年人，给予喷雾干燥的 L.reuteri DSMZ17648（PylopassTM）每天 2×10^10 个细胞，持续 14 天，结果显示幽门螺杆菌水平显著降低，且这种效果在 24 周后仍可检测到。</t>
  </si>
  <si>
    <t>护眼</t>
  </si>
  <si>
    <t>老年人接受叶酸治疗后血浆中未代谢叶酸和主要叶酸形式的浓度</t>
  </si>
  <si>
    <t>一项临床研究调查了老年个体在服用叶酸（5 毫克/天，为期 3 周）后的血浆中未代谢叶酸及主要叶酸形式的浓度变化。结果显示，叶酸处理后，血浆中未代谢叶酸浓度显著增加，同时 5-甲基四氢叶酸和四氢叶酸浓度也显著上升，而总同型半胱氨酸水平则显著下降。</t>
  </si>
  <si>
    <t>小檗碱与安慰剂预防结直肠腺瘤复发的多中心、双盲、随机对照研究</t>
  </si>
  <si>
    <t>一项多中心、双盲、随机对照研究纳入了 1108 例 18 至 75 岁曾接受完整息肉切除术的患者，随机给予 0.3 g 小檗碱或安慰剂，每日两次，为期两年。结果显示，小檗碱组腺瘤复发率为 36%，低于安慰剂组的 47%，表明小檗碱可降低复发风险。</t>
  </si>
  <si>
    <t>神经、抗衰</t>
  </si>
  <si>
    <t>NADPARK 研究：烟酰胺核糖补充剂治疗帕金森病的随机 I 期试验</t>
  </si>
  <si>
    <t>一项随机双盲的Ⅰ期临床试验研究了烟酰胺核糖（NR）对帕金森病（PD）患者的影响，30 名新诊断且未经治疗的 PD 患者每日两次接受 1000mg NR 或安慰剂治疗 30 天，结果显示 NR 治疗耐受性良好，可显著提高大脑 NAD 水平，改变大脑代谢，并与临床症状轻微改善相关。</t>
  </si>
  <si>
    <t>白藜芦醇对绝经后女性认知、脑血管功能和心脏代谢标志物的长期影响</t>
  </si>
  <si>
    <t>一项长达 24 个月的随机双盲安慰剂对照交叉研究显示，绝经后女性每日两次摄入 75 毫克的白藜芦醇，能够显著改善整体认知表现，提升静息脑血流速度和认知刺激下的脑血管反应性，还改善了空腹胰岛素和胰岛素抵抗指数。</t>
  </si>
  <si>
    <t>抗菌和益生菌治疗后阴道微生物群的变化</t>
  </si>
  <si>
    <t>一项关于阴道微生物群变化的研究，研究对象为健康女性、细菌性阴道病（BV）和外阴阴道念珠菌病（VVC）患者。研究中给予 BV 患者 2 克单剂量的替硝唑加 Lactobacillus rhamnosus GR-1 和 Lactobacillus reuteri RC-14 共 28 天，VVC 患者给予 150 毫克氟康唑加同种益生菌 28 天。结果显示，联合使用益生菌和抗生素治疗能显著增加 BV 患者体内乳酸杆菌的相对丰度，而 VVC 患者的细菌微生物群未受治疗影响。</t>
  </si>
  <si>
    <t>尿石素A</t>
  </si>
  <si>
    <t>肌肉</t>
  </si>
  <si>
    <t>补充尿石素 A 对老年人肌肉耐力和线粒体健康的影响：一项随机临床试验</t>
  </si>
  <si>
    <t>一项随机临床试验研究了口服补充剂尿石素 A 对 65 至 90 岁老年人肌肉耐力和线粒体健康的影响，66 名参与者每日接受 1000 毫克尿石素 A 或安慰剂，持续 4 个月。结果显示，与安慰剂相比，尿石素 A 显著改善了手部和腿部骨骼肌的肌肉耐力，并降低了多种与线粒体健康相关的生物标志物水平。</t>
  </si>
  <si>
    <t>维生素D3滴剂/软胶囊</t>
  </si>
  <si>
    <t>骨骼</t>
  </si>
  <si>
    <t>24,25-二羟基维生素D是维生素D的代谢产物，对骨骼形成至关重要</t>
  </si>
  <si>
    <t>一项关于维生素 D 代谢物对佝偻病小鸡骨愈合作用的实验研究，通过给予不同维生素 D 代谢物治疗发现：使用 1-羟基维生素 D3（1,25-二羟基维生素 D3 类似物）治疗时，尽管血钙和无机磷水平正常，但未能阻止大多数佝偻病骨改变。研究指出，正常血钙动物血液中主要的二羟基代谢物 24,25-二羟基维生素 D3（在肾脏合成）在胎儿骨和骨折后骨痂中富集，且其存在对佝偻病小鸡的骨愈合过程是必需的，提示维生素 D 可能通过该代谢物直接影响骨形成。</t>
  </si>
  <si>
    <t>力量</t>
  </si>
  <si>
    <t>肌酸一水合物运动前补充与运动后补充对身体成分和力量的影响</t>
  </si>
  <si>
    <t>本研究对比了19名健康男性健美者（平均年龄23.1岁，平均体重80.18公斤）在锻炼前（PRE–SUPP）与锻炼后（POST–SUPP）补充5克肌酸对身体成分和力量的影响。结果显示，锻炼后补充肌酸在无脂体重（FFM）和1–RM卧推力量上显著优于锻炼前补充，FFM的平均变化分别为2.0公斤和0.9公斤，1–RM卧推的平均变化分别为7.6公斤和6.6公斤。研究表明肌酸补充结合抗阻锻炼能提高无脂体重和力量，锻炼后补充优于锻炼前补充。</t>
  </si>
  <si>
    <t>抗衰</t>
  </si>
  <si>
    <t xml:space="preserve">一种含α-酮戊二酸和多种维生素的潜在延长寿命的复方制剂使用平均 7 个月后使生物衰老平均减少了 8 年 </t>
  </si>
  <si>
    <t>一项前瞻性研究涉及 42 名自报健康个体，他们服用含有α-酮戊二酸钙和维生素的补剂，每日两次，每次一片，持续 4 至 10 个月。结果显示，这些个体的表观遗传年龄平均下降了约 8 年，表明补剂可能对延缓生物衰老有显著效果。</t>
  </si>
  <si>
    <t>AKK阿克曼菌</t>
  </si>
  <si>
    <t>超重和肥胖人类志愿者补充黏蛋白阿克曼菌：一项概念验证探索性研究</t>
  </si>
  <si>
    <t>一项概念验证探索性研究以超重和肥胖的胰岛素抵抗志愿者为对象，每日口服给予10^10个Akk细菌，持续三个月。结果显示，与安慰剂相比，巴氏杀菌处理的Akk能显著改善胰岛素敏感性，降低胰岛素、总胆固醇、肝损伤标志物和炎症相关的 DPP4 活性及血浆内毒素（LPS）水平。</t>
  </si>
  <si>
    <t>Akk 菌在超重/肥胖 2 型糖尿病患者中的应用：其疗效取决于肠道中的基线水平</t>
  </si>
  <si>
    <t>一项临床试验研究了Akkermansia muciniphila（Akk-WST01）补充剂对超重/肥胖2型糖尿病患者的影响。58名患者参与了12周的随机双盲安慰剂对照试验，每日早餐后服用含1-5*10^10CFU/g的Akk-WST01或安慰剂。结果显示，在基线Akk水平低的患者中，Akk-WST01补充显著降低了体重、脂肪质量和HbA1c，而在高基线水平的患者中则效果不佳。</t>
  </si>
  <si>
    <t>β- 烟酰胺单核苷酸独特多晶型微晶口服制剂可提高中老年人循环中烟酰胺腺嘌呤二核苷酸及其代谢物水平</t>
  </si>
  <si>
    <t>一项双盲安慰剂对照研究发现，口服 MIB-626（一种微晶型β-烟酰胺单核苷酸）1000mg，每日一次或两次，连续 14 天，能显著提高中年和老年受试者血液中的烟酰胺腺嘌呤二核苷酸（NAD）及其代谢物水平，且该药物耐受性良好。</t>
  </si>
  <si>
    <t>还原性辅酶Q10</t>
  </si>
  <si>
    <t>高剂量泛醇补充剂治疗多系统萎缩：一项多中心、随机、双盲、安慰剂对照的2期试验</t>
  </si>
  <si>
    <t>一项多中心随机双盲安慰剂对照2期试验研究了高剂量辅酶Q10（1500mg/天，48周）对多系统萎缩（MSA）患者的疗效和安全性，结果显示辅酶Q10组UMSARS评分下降幅度显著小于安慰剂组，且不良事件发生率与安慰剂组相当。</t>
  </si>
  <si>
    <t>拟微球藻油</t>
  </si>
  <si>
    <t>源自微藻拟微球藻、富含极性脂的提取物，可降低现实世界中血脂正常的补充剂消费人群的血浆甘油三酯和胆固醇水平</t>
  </si>
  <si>
    <t>该上市后研究招募480名健康成人，连续6个月服用含25%EPA的AlmegaPL，甘油三酯降14.2%、残余胆固醇降14.9%，且低密度脂蛋白未升高，显示其血脂管理及心血管获益。</t>
  </si>
  <si>
    <t>EPA</t>
  </si>
  <si>
    <t>二十碳五烯酸对高胆固醇血症患者主要冠状动脉事件的影响（JELIS）：一项随机开放标签、设盲终点分析</t>
  </si>
  <si>
    <t>一项日本的随机开放标签、盲端点分析研究，纳入18645名总胆固醇≥6.5mmol/L的高胆固醇血症患者，随机分为每日接受1800mg二十碳五烯酸（EPA）加他汀类药物治疗组和仅他汀类药物对照组，随访5年。结果显示，EPA治疗组主要冠状动脉事件发生率相对降低19%。</t>
  </si>
  <si>
    <t>益生菌与特应性疾病预防：一项随机安慰剂对照试验的 4 年随访</t>
  </si>
  <si>
    <t>研究最初设计用于评估 2 年结局，4 年随访为扩展分析；部分失访可能引入偏倚；皮肤点刺试验阳性率无差异，提示 LGG 可能主要影响临床表现而非致敏状态。</t>
  </si>
  <si>
    <t>提升精力</t>
  </si>
  <si>
    <t>补充 NMN 对健康中年人的有效性和安全性</t>
  </si>
  <si>
    <t>一项随机双盲安慰剂对照试验研究了β-烟酰胺单核苷酸（NMN）补充剂对健康中年成年人的效果和安全性，80 名 40-65 岁健康成年人参与，每日口服 300 毫克、600 毫克或 900 毫克 NMN，持续 60 天，结果显示 NMN 能显著增加血液中 NAD 浓度，提高步行距离，维持血液生物年龄，且每日高达 900 毫克剂量的 NMN 补充剂安全且耐受性良好。</t>
  </si>
  <si>
    <t xml:space="preserve">在一项双盲随机试验中，摄入 NMN 可提高老年人血液 NAD 水平，维持步行速度，并改善睡眠质量 </t>
  </si>
  <si>
    <t>一项随机双盲安慰剂对照研究显示，60 名老年参与者每日摄入 250 毫克 NMN 持续 12 周后，其血液中 NAD+水平及代谢物显著提高，步行速度维持，且睡眠质量改善，未观察到不良反应。</t>
  </si>
  <si>
    <t>高剂量维生素D和碳酸钙补充对HIV青少年骨密度的影响：一项随机安慰剂对照试验</t>
  </si>
  <si>
    <t>一项个体随机、双盲、安慰剂对照试验，纳入842名围产期感染HIV的青少年，比较“高剂量维生素D3+碳酸钙”与安慰剂48周对骨密度和肌肉功能的影响；结果显示在整体人群中主要骨密度结局无显著差异，但在基线维生素D不足的预设亚组中，腰椎骨密度显著改善，同时干预安全、廉价且耐受性良好，因此更适合作为“特定缺乏人群获益”的支持证据。</t>
  </si>
  <si>
    <t>血管</t>
  </si>
  <si>
    <t>补充烟酰胺单核苷酸可提高业余跑步者的有氧能力：一项随机双盲研究</t>
  </si>
  <si>
    <t>一项随机双盲研究探讨了业余跑步者在六周内每日补充不同剂量的烟酰胺单核苷酸（NMN）对有氧运动能力的影响。研究对象为 48 名业余跑步者，分为低剂量组（每日 300mg）、中剂量组（每日 600mg）、高剂量组（每日 1200mg）和对照组（安慰剂）。结果显示，中高剂量组在第一和第二通气阈值的摄氧量和功率上显著高于对照组，表明 NMN 能提升人体在运动训练中的有氧能力。</t>
  </si>
  <si>
    <t>心脏</t>
  </si>
  <si>
    <t>孕期补充鱼油和维生素D预防儿童早期哮喘：两项双盲随机对照试验的研究方案</t>
  </si>
  <si>
    <t>一项双盲随机对照试验研究了孕期补充鱼油和高剂量维生素D对预防儿童早期哮喘的效果。研究对象为4000名孕妇，鱼油组每天补充2.4g鱼油，维生素D组每天补充3200国际单位维生素D，均从孕期第24周开始至分娩后一周。研究旨在通过3年随访，评估这些补充剂对儿童哮喘、呼吸道感染等健康指标的影响，以期改变临床实践并改善儿童健康。</t>
  </si>
  <si>
    <t>鱼油补充剂对高血压患者促炎标志物的降低作用：一项随机对照试验的结果</t>
  </si>
  <si>
    <t>一项随机对照试验研究了鱼油补充对高血压患者炎症标志物的影响，77名中年/老年高血压志愿者随机分为两组，一组接受每日2g鱼油（富含EPA+DHA）补充90天，另一组接受玉米油对照。结果显示，鱼油组的TNF-α和CRP水平显著降低，表明鱼油补充可能减轻高血压患者的炎症反应。</t>
  </si>
  <si>
    <t>鱼油补充剂对少肌症老年女性抗阻运动训练反应性影响的随机对照试验</t>
  </si>
  <si>
    <t>一项随机对照试验研究了鱼油补充剂对肌少症老年女性对抗阻力训练响应的影响。34名年龄≥65岁的女性参与了14周的研究，每天摄入4g鱼油补充剂。结果显示，鱼油组在肌肉力量和身体表现方面有显著提升，肌肉力量峰值扭矩增加更为显著，分别为19.46牛米和5.74牛米，而对照组则分别为6.11%和2.91%。</t>
  </si>
  <si>
    <t>Akk 菌在超重/肥胖 3 型糖尿病患者中的应用：其疗效取决于肠道中的基线水平</t>
  </si>
  <si>
    <t>一项临床试验研究了Akkermansia muciniphila（Akk-WST01）补充剂对超重/肥胖2型糖尿病患者的影响。58名患者参与了12周的随机双盲安慰剂对照试验，每日早餐后服用含1-5*10^10CFU/g的Akk-WST01或安慰剂。结果显示，在基线Akk水平低的患者中，Akk-WST01补充显著降低了体重、脂肪质量和HbA2c，而在高基线水平的患者中则效果不佳。</t>
  </si>
  <si>
    <t>肥胖饮食干预期间 Akk与代谢健康改善：与肠道微生物群丰富度和生态的关系</t>
  </si>
  <si>
    <t>一项关于肠道微生物与代谢健康关系的干预研究，选取了49名超重和肥胖成年人，先进行6周的限制热量饮食，再进行6周的体重稳定期饮食。结果显示，Akkermansia muciniphila丰度与血糖、腰臀比和皮下脂肪细胞直径呈负相关，高丰度者在饮食干预后代谢状态改善更显著。</t>
  </si>
  <si>
    <t>减重</t>
  </si>
  <si>
    <t>肠上皮N-酰基磷脂酰乙醇胺磷脂酶D将膳食脂肪与肥胖和脂肪变性的代谢适应联系起来</t>
  </si>
  <si>
    <t>一项动物实验研究以小鼠为对象，通过诱导性敲除小鼠肠道上皮细胞中N-酰磷脂酶D（NAPE-PLD）基因，发现其缺失加剧高脂饮食小鼠肥胖和脂肪肝。而 Akk 菌可改善这些症状，降低体重、脂肪量，改善胰岛素抵抗和肝脏脂肪沉积，且无需肠道 NAPE-PLD 参与。</t>
  </si>
  <si>
    <t>巴氏杀菌的黏蛋白阿克曼菌可增加饮食诱导的肥胖小鼠的全身能量消耗和粪便能量排泄</t>
  </si>
  <si>
    <t>一项动物实验研究显示，对小鼠给予5周的每天2×10^8 CFU的巴氏杀菌Akkermansia muciniphila干预，能减少高脂饮食诱导的肥胖小鼠体重和脂肪质量增加，通过提高能量消耗和增加粪便能量排泄实现，还可能涉及降低碳水化合物吸收和增强肠道上皮细胞更新。</t>
  </si>
  <si>
    <t>肠道</t>
  </si>
  <si>
    <t>肠道粘蛋白 Akkermansia 改善肿瘤生态系统以增强抗 PD - 1 免疫治疗效果</t>
  </si>
  <si>
    <t>一项动物实验研究以C57BL/6小鼠为对象，通过皮下注射Lewis肺癌细胞建立肺癌小鼠模型，随后每隔3天经口给予1×10^9 CFU的Akkermansia muciniphila，持续至小鼠被处死。结果显示，活Akk处理组小鼠肿瘤生长受到显著抑制，且活Akk对CD8T细胞的激活效果优于其他处理组。</t>
  </si>
  <si>
    <t>麦角硫因通过靶向核因子 E2 相关因子 2（Nrf2）、核因子 κB（NF-κB）和凋亡信号通路以及抑制 γ - 谷氨酰转肽酶来减轻顺铂诱发的肾毒性</t>
  </si>
  <si>
    <t>一项动物实验研究探讨了牛磺酸对顺铂诱导的肾毒性的影响。实验对象为大鼠，牛磺酸剂量为每日70mg/kg，持续14天，顺铂单剂量为5mg/kg。结果显示，牛磺酸能显著改善顺铂处理大鼠的肾功能，降低血清肌酐和血尿素氮水平，提高肾小球滤过率，减轻氧化应激和肾组织的病理变化。</t>
  </si>
  <si>
    <t>护肤</t>
  </si>
  <si>
    <t>补充食物功能因子麦角硫因可有效预防小鼠肝损伤</t>
  </si>
  <si>
    <t>一项动物实验研究以小鼠为对象，通过连续 21 天每日灌胃给予不同剂量的麦角硫因（EGT）预处理，发现 EGT 能显著降低四氯化碳（CCl4）诱导的血清丙氨酸氨基转移酶（ALT）和天门冬氨酸氨基转移酶（AST）水平，减轻肝脏损伤，提高抗氧化酶活性，为预防肝损伤提供了理论依据。</t>
  </si>
  <si>
    <t>口服补充 L-胱氨酸联合还原型 L-谷胱甘肽（GSH）对人体皮肤色素沉着的影响：一项随机、双盲、阳性对照和安慰剂对照的临床试验</t>
  </si>
  <si>
    <t>一项随机双盲对照临床试验研究了口服补充 L-半胱氨酸和还原型谷胱甘肽对亚洲女性皮肤色素沉着的影响。124 名亚洲女性参与，分为四组分别接受 500 毫克 L-半胱氨酸和 250 毫克 L-谷胱甘肽、250 毫克还原型 L-谷胱甘肽、500 毫克 L-半胱氨酸或安慰剂，每日一次，持续 12 周。结果显示，联合补充显著减轻了皮肤色素沉着，改善了肤色，效果优于单独使用任一组分或安慰剂。</t>
  </si>
  <si>
    <t>小剂量B族维生素联合甜菜碱补充剂对降低中国成人高同型半胱氨酸血症患者同型半胱氨酸水平的影响：一项随机、双盲、对照初步临床试验</t>
  </si>
  <si>
    <t>一项随机双盲对照临床试验研究了低剂量B族维生素和甜菜碱补充剂对中国高同型半胱氨酸血症成年人降低血浆同型半胱氨酸浓度的效果，每日补充400μg叶酸、8mg维生素B6、6.4μg维生素B12和1g甜菜碱，持续12周，结果显示该补充剂显著降低了血浆同型半胱氨酸浓度。</t>
  </si>
  <si>
    <t>精力</t>
  </si>
  <si>
    <t>六周甜菜碱补充对男性大学生运动员肌肉表现的影响</t>
  </si>
  <si>
    <t>一项关于6周补充甜菜碱对男性大学生运动员肌肉表现影响的研究表明，每日5克甜菜碱补充6周，可显著提升上肢肌肉力量和半蹲、过头推举的最大力量，但对深蹲和硬拉的最大力量无显著影响，且未对血脂水平产生负面影响。</t>
  </si>
  <si>
    <t>抑郁</t>
  </si>
  <si>
    <t>含特级初榨橄榄油、木糖醇和甜菜碱的牙膏治疗牙龈炎临床效果的随机对照临床试验</t>
  </si>
  <si>
    <t>一项随机临床试验研究了含有特级初榨橄榄油、木糖醇和甜菜碱的牙膏对牙龈炎患者的影响。研究对象为61名牙龈炎患者，随机分为三组，分别使用特级初榨橄榄油牙膏、安慰剂牙膏和商业抗牙龈炎牙膏，每天刷牙三次，持续四个月。结果显示，使用特级初榨橄榄油牙膏的患者牙龈出血显著减少，牙菌斑指数降低，且唾液pH值有所提高。</t>
  </si>
  <si>
    <t>14 天补充甜菜碱负荷方案后及 28 天洗脱期内人血清甜菜碱及相关生物标志物浓度：一项初步研究</t>
  </si>
  <si>
    <t>一项为期28天的前瞻性研究，选取5名26岁左右的健康抗阻训练男性，干预物为每日6克无水甜菜碱，持续14天，随后进行28天的洗脱期。结果显示，补充后血清甜菜碱浓度显著升高，但仅在停药后4天内仍高于基线，之后恢复至基线水平。</t>
  </si>
  <si>
    <t>补充甜菜碱可提高CrossFit运动表现并增加睾酮水平，但对温盖特功率无影响：随机交叉试验</t>
  </si>
  <si>
    <t>一项随机交叉试验研究了为期三周的甜菜碱（BET）补充（剂量为每天2.5克和5.0克）对CrossFit表现、身体组成、Wingate无氧测试肌肉功率以及特定激素浓度的影响。结果显示，BET补充显著提高了CrossFit表现，并增加了睾酮水平，但对Wingate功率无影响。</t>
  </si>
  <si>
    <t>烟酰胺核糖苷和辅酶Q10对慢性肾脏病炎症和氧化应激影响的初步试验</t>
  </si>
  <si>
    <t>一项随机双盲交叉试验研究了中度至重度慢性肾脏病患者中，1200mg/d的辅酶Q10或1000mg/d的烟酰胺核糖干预6周对炎症和氧化应激的影响，结果显示这些补充剂可改善氧化应激标志物、炎症标志物和细胞生物能量学。</t>
  </si>
  <si>
    <t>泛醇（还原型辅酶Q10）作为心脏骤停后代谢复苏剂的随机、双盲、安慰剂对照试验</t>
  </si>
  <si>
    <t>一项随机双盲安慰剂对照试验研究了在心脏骤停后复苏患者中使用辅酶Q10（300mg，每12小时一次，持续7天）的效果。结果显示，辅酶Q10组患者的血浆中辅酶Q10水平显著高于安慰剂组，但在神经生物标志物和氧气消耗方面两组间无差异。</t>
  </si>
  <si>
    <t xml:space="preserve">补充泛醇对接受主动脉瓣置换术老年患者的生化及临床影响 </t>
  </si>
  <si>
    <t>一项临床研究探讨了在老年主动脉瓣置换术患者中，补充400mg/天的辅酶Q10的还原形式——辅酶Q10H，从术前7天至术后5天的干预效果。结果显示，辅酶Q10H治疗能有效对抗术后血浆辅酶Q10的下降和氧化，减少与心脏手术相关的肌钙蛋白I增加，预防左心室射血分数恢复不良的不良后果。</t>
  </si>
  <si>
    <t>高海拔适应与脱适应过程中心肺适能及泛醇的作用：SCARF试验</t>
  </si>
  <si>
    <t>一项临床试验研究了41名志愿者在高原适应和去适应过程中的心肺适能变化，试验中志愿者在前往高原前14天每日两次口服200mg的辅酶Q10或安慰剂。结果显示短期高原旅行后返回时心肺适能并未显著受影响，辅酶Q10补充有助于维持高原上的身体表现能力并促进低氧适应。</t>
  </si>
  <si>
    <t>摄入泛醇 - 10 可有效缓解健康人群的轻度疲劳</t>
  </si>
  <si>
    <t>一项双盲安慰剂对照研究评估了辅酶Q10的还原形式——辅酶Q10对健康个体轻度疲劳的影响，研究对象为20至64岁的健康成年人，干预物为每日100毫克或150毫克辅酶Q10，持续12周。结果显示，辅酶Q10摄入能显著改善主观疲劳感、睡眠不足后的认知任务表现，并降低氧化应激指标。</t>
  </si>
  <si>
    <t>补充 300 mg 泛醌对运动员血糖控制和抗氧化状态的影响：一项随机、双盲、安慰剂对照试验</t>
  </si>
  <si>
    <t>一项随机双盲安慰剂对照试验研究了300毫克辅酶Q10（泛醌）补充12周对运动员血糖控制和抗氧化状态的影响。结果显示，补充组运动员的血浆泛醌浓度显著增加，红细胞丙二醛水平显著降低，且与血糖参数有显著相关性，表明泛醌补充可能改善运动员的抗氧化能力和血糖控制。</t>
  </si>
  <si>
    <t>口腔</t>
  </si>
  <si>
    <t>泛醇对运动期间血液学和炎症信号传导的有益作用</t>
  </si>
  <si>
    <t>一项随机双盲安慰剂对照试验研究显示，100名健康消防员在2周内每日口服200mg的辅酶Q10的还原型（辅酶Q10）后，高强度运动测试显示，辅酶Q10组的红细胞、血红蛋白、血细胞比容、VEGF和EGF指标上升，而IL-1、IL-8和MCP-1等炎症介质下降</t>
  </si>
  <si>
    <t>泛醇改善轻至中度血脂异常受试者的内皮功能障碍：一项随机临床试验</t>
  </si>
  <si>
    <t>一项随机临床试验研究了辅酶Q10的还原型——辅酶Q10（200或100毫克/天）对中度血脂异常（LDL胆固醇水平130-200毫克/分升）健康受试者内皮功能的影响，8周后发现辅酶Q10显著改善了受试者的内皮依赖性血管扩张，且与提高的一氧化氮生物利用度和LDL抗氧化保护增强有关。</t>
  </si>
  <si>
    <t>一种基于Magtein®（L-苏糖酸镁）的配方可改善中国健康成年人的大脑认知功能</t>
  </si>
  <si>
    <t>一项双盲、安慰剂对照研究显示，109名健康中国成年人每日服用2克Magtein®PS（含镁L-酒石酸盐等）30天后，在临床记忆测试的五个子类别及整体记忆商数得分上，服用Magtein®PS的受试者均显著优于对照组，且年龄较大参与者改善更为显著。</t>
  </si>
  <si>
    <t>焦虑、抑郁</t>
  </si>
  <si>
    <t>L-苏糖酸镁治疗可提高帕金森病小鼠模型脑脊液中的镁水平，并减轻运动障碍和多巴胺能神经元丢失</t>
  </si>
  <si>
    <t>一项动物实验研究以C57BL/6J小鼠为对象，给予苏糖酸镁（MgT）或硫酸镁（MgSO4）干预四周，第三周时给予MPTP处理。结果显示，MgT能增加脑脊液中镁浓度，显著减轻MPTP诱导的运动功能障碍和多巴胺能神经元损伤，而MgSO4则无此效果。</t>
  </si>
  <si>
    <t>L-苏糖酸镁改善自述有睡眠问题成年人的睡眠质量和日间功能：一项随机对照试验</t>
  </si>
  <si>
    <t>一项随机对照试验研究了35至55岁自报睡眠问题的成年人，他们每日服用1克苏糖酸镁或安慰剂21天。结果显示，苏糖酸镁组在维持良好睡眠质量和日间功能方面优于安慰剂组，客观测量显示苏糖酸镁显著改善了深睡眠和快速眼动睡眠评分等指标。</t>
  </si>
  <si>
    <t>认知、记忆力</t>
  </si>
  <si>
    <t>高生物可利用性叶黄素膳食补充剂对黄斑色素光密度和对比敏感度的临床影响</t>
  </si>
  <si>
    <t>一项随机双盲安慰剂对照试验研究了 12 毫克叶黄素补充剂对 59 名 20 至 69 岁健康成年人的黄斑色素光学密度（MPOD）、对比敏感度和眩光敏感度的影响。16 周后发现，与安慰剂组相比，叶黄素组的 MPOD、对比敏感度和眩光敏感度显著改善，且血清叶黄素水平显著增加。</t>
  </si>
  <si>
    <t>叶黄素对眼部及眼外健康影响的综述</t>
  </si>
  <si>
    <t>一项系统综述研究了叶黄素对眼健康的影响，结果显示其可提高黄斑色素光学密度、改善视觉对比敏感度，有益眼健康；还可能改善认知功能，对心血管健康有积极影响，存在一定有益作用。</t>
  </si>
  <si>
    <t>记忆力</t>
  </si>
  <si>
    <t>亚精胺对老年痴呆症患者的积极影响</t>
  </si>
  <si>
    <t>一项多中心双盲初步研究聚焦于补充亚精胺对老年痴呆患者认知功能的影响。研究对象为 85 名 60 至 96 岁居住在 6 家养老院的老年痴呆患者，干预物为含不同剂量亚精胺的谷物卷，干预周期为3个月。结果显示，高剂量亚精胺组在轻度和中度痴呆患者中认知表现有明显改善，尤其是轻度痴呆患者在 MMSE 测试中平均提高了 2.23 分。</t>
  </si>
  <si>
    <t>自噬天然激活剂增加外周动脉疾病患者的最大步行距离并减轻氧化应激：一项初步研究</t>
  </si>
  <si>
    <t>一项随机对照试验研究了含有海藻糖、精胺、烟酰胺和多酚的混合物对 20 名外周动脉疾病患者的影响，患者随机分配接受 10.5 g 混合物或无治疗，持续 60 天。结果显示，混合物摄入显著增加了患者的最长步行距离，并降低了氧化应激水平。</t>
  </si>
  <si>
    <t>亚精胺对有痴呆风险的老年人记忆表现的影响：一项随机对照试验</t>
  </si>
  <si>
    <t>一项随机对照试验研究了亚精胺补充对老年痴呆症风险老年个体记忆表现的影响。研究对象为 30 名主观认知能力下降的老年人，他们每日接受 750 毫克含 1.2 毫克亚精胺的植物提取物补充，持续三个月。结果显示，与安慰剂组相比，亚精胺组在记忆表现上有所改善，尤其是辨别记忆能力有中等效果的提升。</t>
  </si>
  <si>
    <t>亚精胺可改善饮食诱导的肥胖小鼠的肠道屏障完整性和肠道微生物群功能</t>
  </si>
  <si>
    <t>一项动物实验研究了亚精胺对饮食诱导的肥胖小鼠的影响，将小鼠分为四组，分别给予正常饲料、高脂饲料以及高脂饲料加 5、10、2 0mg/kg 的亚精胺，干预 16 周。结果显示精胺能显著减轻体重、改善胰岛素抵抗，且与肠道屏障功能增强和肠道微生物群组成改变有关。</t>
  </si>
  <si>
    <t>护发</t>
  </si>
  <si>
    <t xml:space="preserve">一项系统性探索揭示了亚精胺通过稳定黑素生成相关蛋白在色素减退治疗方面的潜力 </t>
  </si>
  <si>
    <t>一项研究亚精胺对黑色素生成影响的实验，以黑素细胞和人皮肤等效模型为对象，经不同浓度亚精胺处理，发现其可增加黑色素生成，提高 TRP - 1 和 TRP - 2 稳定性</t>
  </si>
  <si>
    <t>纳米姜黄素补充剂对代谢综合征患者血糖控制、血压、血脂谱和胰岛素抵抗的影响：一项随机双盲临床试验</t>
  </si>
  <si>
    <t>一项随机双盲临床试验研究了纳米姜黄素补充对代谢综合征患者血糖控制、血压、血脂和胰岛素抵抗的影响，50名患者随机分为两组，一组每天接受80毫克纳米姜黄素，持续12周，结果显示纳米姜黄素显著降低了患者的血清甘油三酯水平和胰岛素抵抗指标HOMA-β。</t>
  </si>
  <si>
    <t>关节</t>
  </si>
  <si>
    <t>姜黄素治疗非酒精性脂肪性肝病：一项随机安慰剂对照试验</t>
  </si>
  <si>
    <t>一项随机双盲安慰剂对照试验研究了姜黄素对非酒精性脂肪肝病（NAFLD）患者肝脏脂肪含量及生化和体质特征的影响，选取NAFLD患者，给予无定形分散姜黄素制剂（相当于每天70毫克姜黄素）或安慰剂，持续8周。结果显示姜黄素组肝脏脂肪含量显著降低，体重、BMI、血脂、血糖和糖化血红蛋白等指标也有显著改善。</t>
  </si>
  <si>
    <t>姜黄素共轭氧化锌纳米粒子对利血平诱导的Wistar大鼠抑郁症的治疗效果评估</t>
  </si>
  <si>
    <t>一项动物实验研究评估了姜黄素结合氧化锌纳米颗粒（Zn(cur)O NPs）对由降压药诱发的抑郁症大鼠模型的治疗效果。实验中，大鼠接受0.2mg/kg降压药连续14天处理后，再分别给予45mg/kg的自由姜黄素、5.6mg/kg的ZnO NPs或45mg/kg的Zn(cur)O NPs连续10天。结果显示，Zn(cur)O NPs在改善运动活动、减少不动时间以及调节神经化学指标方面展现出比自由姜黄素和ZnO NPs更优越的抗抑郁效果。</t>
  </si>
  <si>
    <t>姜黄素和纳米姜黄素通过调节氧化应激、炎症反应和Akt/GSK - 3β信号通路减轻铜的神经毒性</t>
  </si>
  <si>
    <t>一项动物实验研究探讨了姜黄素及其纳米形式对硫酸铜诱导的大鼠脑氧化应激、炎症和凋亡的影响。实验中，大鼠接受100mg/kg硫酸铜处理，并同时给予80mg/kg姜黄素或纳米姜黄素7天。结果显示，姜黄素和纳米姜黄素均能减轻脑损伤，且纳米姜黄素的效果更为显著。</t>
  </si>
  <si>
    <t>(R)-α-硫辛酸可降低每周接受紫杉醇治疗的乳腺癌患者的感觉性周围神经毒性</t>
  </si>
  <si>
    <t>一项临床研究探讨了 α-硫辛酸对接受每周紫杉醇治疗乳腺癌患者周围神经病变的影响。研究对象为 20 名乳腺癌女性患者，干预物为每天 300 毫克的 α-硫辛酸，治疗周期为 12 周。结果显示，80% 的患者周围神经病变得到改善或稳定，且 α-硫辛酸治疗耐受性良好。</t>
  </si>
  <si>
    <t>膳食 α-硫辛酸对映体对大鼠肝脏脂肪酸代谢的影响</t>
  </si>
  <si>
    <t>一项动物实验研究探讨了饮食中 α-硫辛酸对大鼠肝脏脂肪酸代谢的影响，实验中使用了 2.5 g/kg 的 α-硫辛酸，持续 21 天。结果显示，各型硫辛酸均降血清和肝脏甘油三酯、胆固醇，降肝脂肪合成酶活性及 mRNA 水平，也降脂肪氧化酶活性，且对映体间效果无显著差异。</t>
  </si>
  <si>
    <t>一项关于长期补充 (R)-α-硫辛酸的随机对照试验：该补充剂可促进超重或肥胖成年人减重，且不改变基线时升高的血浆甘油三酯浓度</t>
  </si>
  <si>
    <t>一项随机对照试验研究了长期 (R)-α-硫辛酸补充对超重或肥胖成年人体重减轻的影响。研究对象为 81 名超重或肥胖成年人，干预物为每天 600 毫克的 (R)-α-硫辛酸，持续 24 周。结果显示，该补充剂并未降低血浆甘油三酯浓度，但能显著降低体重和 BMI，尤其是女性和肥胖度较高的参与者。</t>
  </si>
  <si>
    <t>α-硫辛酸作为膳食补充剂：分子机制与治疗潜力</t>
  </si>
  <si>
    <t>综述 α- 硫辛酸的合成、吸收、生物利用度与安全性，分析其抗氧化、金属螯合、调节信号通路等机制，结合实验与临床数据，展现其改善糖尿病神经病变、调节血管功能及提升细胞抗氧化能力等有益作用</t>
  </si>
  <si>
    <t>抗癌</t>
  </si>
  <si>
    <t>植物雌激素摄入与卵巢癌风险：10 项观察性研究的荟萃分析</t>
  </si>
  <si>
    <t>一项基于10项观察性研究的荟萃分析研究了植物雌激素摄入与卵巢癌风险之间的关系，结果显示植物雌激素摄入量越高，卵巢癌风险越低，特别是来自大豆食品的异黄酮。</t>
  </si>
  <si>
    <t>性生活、备孕</t>
  </si>
  <si>
    <t>补充锌剂对偏头痛发作频率具有积极影响：一项双盲随机安慰剂对照临床试验</t>
  </si>
  <si>
    <t>一项双盲随机安慰剂对照临床试验研究了锌补充剂对偏头痛发作频率的影响，共 80 名偏头痛患者参与，干预组每日服用 220 毫克硫酸锌，持续 8 周，结果显示锌补充剂显著降低了偏头痛发作的频率和头痛严重程度。</t>
  </si>
  <si>
    <t>补充锌剂治疗痛经的疗效：一项双盲随机对照试验</t>
  </si>
  <si>
    <t>一项随机双盲对照试验研究了硫酸锌补充剂对痛经的疗效，选取 103 名高中生为研究对象，实验组每天服用 40 毫克硫酸锌，持续 3 天，结果显示硫酸锌能显著降低痛经的严重程度，尤其在多于一个周期的使用后，且副作用较少。</t>
  </si>
  <si>
    <t>水飞蓟、葛根联合丹参片对成人非酒精性脂肪肝的随机对照试验效果：一项三盲、随机、安慰剂对照临床试验</t>
  </si>
  <si>
    <t>一项随机三盲安慰剂对照临床试验研究了含有水飞蓟素、葛根、丹参的药片对成人非酒精性脂肪肝病（NAFLD）的影响。121 名 NAFLD 患者随机分为两组，一组接受 SPS 药片（每天两次，每次三片，共 24 周），另一组接受安慰剂。结果显示 SPS 组对 NAFLD 患者肝脂肪含量（LFC）及脂肪变性无显著改善，但可显著降低 hs-CRP（抗炎）、升高 ALDH 活性（助酒精代谢），且安全性良好。</t>
  </si>
  <si>
    <t>水飞蓟素强化饼干对非酒精性脂肪肝患者肝酶及炎症标志物的影响</t>
  </si>
  <si>
    <t>一项临床试验研究了添加了不同剂量（200 mg、300 mg、400 mg）的水飞蓟素饼干对非酒精性脂肪肝病（NAFLD）患者肝酶和炎症标志物的影响。64 名 NAFLD 患者随机分为四组，分别接受安慰剂或不同剂量的水飞蓟素饼干干预 90 天。结果显示，治疗组患者的肝酶水平显著下降，尤其是接受较高剂量水飞蓟素的治疗组 3，其丙氨酸转氨酶（ALT）和天门冬氨酸转氨酶（AST）水平分别从 64。39 U/L 降至 49。38 U/L，从 61。53 U/L 降至 45。38 U/L，炎症标志物 C 反应蛋白（CRP）和红细胞沉降率（ESR）也显著降低，表明水飞蓟素可能对 NAFLD 患者具有潜在的益处。</t>
  </si>
  <si>
    <t>产前和产后大剂量补充维生素 B-12 对母乳中维生素 B-12 的影响：一项在坦桑尼亚进行的随机、双盲、安慰剂对照试验</t>
  </si>
  <si>
    <t>一项随机双盲安慰剂对照试验研究了孕期和产后期高剂量维生素 B12 补充对母乳维生素 B12 含量的影响。研究对象为坦桑尼亚的孕妇，孕期给予每日 50μg 维生素 B12 的多种微量营养素补充剂，直至产后 6 周，部分参与者在产后 6 周至 18 月继续补充。结果显示，孕期补充显著提高了产后 6 周母乳中维生素 B12 含量，而产后期补充则对产后 7 个月母乳中维生素 B12 含量有提升作用。</t>
  </si>
  <si>
    <t>备孕</t>
  </si>
  <si>
    <t>肠内补充维生素 A 减轻支气管肺发育不良严重程度的随机试验</t>
  </si>
  <si>
    <t>一项随机对照试验研究 28 周胎龄的极早产儿每天补充 5000 国际单位的肠溶性维生素 A，持续至 34 周胎龄。结果显示，显著提高了血浆视黄醇水平，然而，以脉搏血氧饱和度与吸入氧压曲线右移评估，补充维生素 A 并不能降低支气管肺发育不良的严重程度。</t>
  </si>
  <si>
    <t>维生素 D 和/或钙补充剂对糖尿病前期受试者胰岛 β 细胞功能的影响：一项随机对照试验</t>
  </si>
  <si>
    <t>一项随机对照试验研究了维生素 D 和/或钙补充剂对中国糖尿病前期人群胰岛β细胞功能的影响，243 名受试者随机分为四组，分别接受 1600 IU/天维生素 D3、500 mg/天钙或两者结合，持续 24 周，结果显示维生素 D 和钙的补充可增加胰岛素分泌，维生素 D 不足者经联合补充后处置指数增加。</t>
  </si>
  <si>
    <t>一项为期两年的低剂量 B 族维生素补充剂随机对照试验显示，对维生素 B12 水平较低的成年人的骨密度有益</t>
  </si>
  <si>
    <t>一项为期两年的随机对照试验研究了低剂量 B 族维生素补充剂对 50 岁以上成年人骨密度的影响，结果显示在 B12 水平较低的参与者中，B 族维生素干预可降低两年内骨密度的下降。</t>
  </si>
  <si>
    <t>视力</t>
  </si>
  <si>
    <t>补充烟酰胺（维生素 B3）对青光眼患者视网膜内层功能的改善作用：一项交叉随机临床试验</t>
  </si>
  <si>
    <t>一项随机交叉临床试验研究了烟酰胺（维生素 B3）对青光眼患者内层视网膜功能的影响，57 名患者分别接受 12 周的 1.5 克/天和 3.0 克/天烟酰胺或安慰剂治疗，结果显示烟酰胺能显著改善青光眼患者的视网膜神经节细胞功能，提高光诱导负反应（PhNR）的饱和振幅（Vmax）和 Vmax 比值。</t>
  </si>
  <si>
    <t>两项孕期低剂量补钙随机试验</t>
  </si>
  <si>
    <t>一项随机对照试验研究了低剂量钙补充剂对孕妇的影响，选取了印度和坦桑尼亚的 11000 名初产妇为对象，分别给予每日 500 毫克和 1500 毫克的钙补充剂直至分娩。结果显示，低剂量组与高剂量组在预防子痫前期方面无显著差异，但在预防早产方面，印度试验显示低剂量非劣效，而坦桑尼亚试验则不然。</t>
  </si>
  <si>
    <t>口服甘氨酸亚铁联合静脉注射蔗糖铁治疗产后贫血——随机对照试验</t>
  </si>
  <si>
    <t>一项随机对照试验研究了单剂量 500 mg 静脉铁剂蔗糖与联合口服铁剂双糖补充治疗产后贫血的效果。研究对象为 158 名产后血红蛋白水平低于 9.5 g/dL 的女性，其中 63 人接受了静脉和口服铁剂治疗 45 天，44 人仅接受静脉铁剂治疗。结果显示，联合治疗组产后 6 周血红蛋白水平比仅静脉铁剂组高 0.4 g/dL，但铁储存和生活质量无差异。</t>
  </si>
  <si>
    <t>血液</t>
  </si>
  <si>
    <t>超营养剂量硒酸钠补充剂可将硒输送至中枢神经系统：一项阿尔茨海默病随机对照先导试验的结果</t>
  </si>
  <si>
    <t>一项随机对照试验研究了超营养剂量的亚硒酸钠对阿尔茨海默病患者中枢神经系统硒含量的影响，40 例患者随机分为安慰剂组、营养剂量（0.32 mg 亚硒酸钠，每日三次）组和超营养剂量（10 mg，每日三次）组，持续 24 周。结果显示超营养剂量补充硒能改善降低的硒水平、谷胱甘肽过氧化物酶（GPX）活性及认知缺陷，经系统筛选的研究也证实了这些改善，不过还需更多研究分析其长期效果等。</t>
  </si>
  <si>
    <t>纳豆激酶-红曲补充剂对血脂异常的影响：一项为期四个月的随机、双盲、安慰剂对照临床试验</t>
  </si>
  <si>
    <t>纳豆激酶-红曲霉补充剂可显著改善血脂水平</t>
  </si>
  <si>
    <t>血压</t>
  </si>
  <si>
    <t>单剂量口服纳豆激酶可增强溶栓和抗凝效果</t>
  </si>
  <si>
    <t>纳豆激酶单剂量口服可增强人体溶栓和抗凝血功能</t>
  </si>
  <si>
    <t>冷水浸泡后的恢复：一项双盲、安慰剂对照交叉研究</t>
  </si>
  <si>
    <t>纳豆激酶单剂量可加速手部冷水浸泡后外周皮肤温度恢复</t>
  </si>
  <si>
    <t>纳豆激酶作为预防神经退行性疾病中血脑屏障功能障碍的潜在治疗剂</t>
  </si>
  <si>
    <t>纳豆激酶可能预防神经退行性疾病中血脑屏障功能障碍</t>
  </si>
  <si>
    <t>纳豆激酶补充剂与心血管危险因素：随机对照试验的系统评价和荟萃分析</t>
  </si>
  <si>
    <t>纳豆激酶可辅助治疗高血压</t>
  </si>
  <si>
    <t>前列腺</t>
  </si>
  <si>
    <t>锯棕榈提取物治疗慢性前列腺炎/慢性盆腔疼痛综合征患者的有效性和安全性</t>
  </si>
  <si>
    <t>一项随机双盲安慰剂对照试验研究了锯棕榈提取物（SRE）对慢性前列腺炎/慢性盆腔疼痛综合征（CP/CPPS）患者的疗效和安全性，共 221 名患者参与，干预物为 320mg SRE 或安慰剂，持续 12 周。结果显示，与安慰剂相比，SRE 组在 NIH-CPSI 总分和各子项得分上均有显著改善，且临床反应率更高（73.0%对 32.9%），仅观察到轻微不良事件。</t>
  </si>
  <si>
    <t>镇痛</t>
  </si>
  <si>
    <t>锯棕榈提取物在中国良性前列腺增生患者中的疗效和安全性：一项多中心、随机、双盲、安慰剂对照试验</t>
  </si>
  <si>
    <t>一项多中心随机双盲安慰剂对照试验研究了锯棕榈提取物对良性前列腺增生患者的效果与安全性，共 354 名患者参与，接受 320 毫克锯棕榈提取物或安慰剂，持续 24 周。结果显示，锯棕榈提取物组在峰值尿流率、国际前列腺症状评分等方面显著改善，且安全性良好，耐受性佳。</t>
  </si>
  <si>
    <t>标准化锯棕榈油口服和局部给药可减少雄激素性脱发受试者的掉发并促进头发生长</t>
  </si>
  <si>
    <t>一项随机双盲安慰剂对照研究显示，80 名 18 至 50 岁患有轻度至中度雄激素性脱发的男女，在 16 周内每日使用 400 毫克锯棕榈提取物胶囊或 5 毫升 20% 锯棕榈提取物外用制剂，结果显示锯棕榈提取物可显著减少脱发，提高头发密度，且未观察到严重不良反应。</t>
  </si>
  <si>
    <t>性生活</t>
  </si>
  <si>
    <t>一项关于富含植物甾醇的锯棕榈油与传统锯棕榈油缓解良性前列腺增生和雄激素缺乏症疗效对照随机对照研究</t>
  </si>
  <si>
    <t>一项双盲、安慰剂对照的随机比较研究，选取 40 至 65 岁有症状的良性前列腺增生（BPH）患者，分别给予富含β-谷甾醇的锯棕榈油（500mg，每日两次，持续 12 周）、常规锯棕榈油和安慰剂。结果显示，富含β-谷甾醇的锯棕榈油在减轻 BPH 症状和雄激素缺乏方面效果显著优于常规油。</t>
  </si>
  <si>
    <t>前列腺癌患者的番茄相关随机对照试验：对前列腺特异性抗原（PSA）的影响</t>
  </si>
  <si>
    <t>一项基于番茄的随机对照试验研究了番茄制品对前列腺癌患者 PSA 水平的影响。研究对象为 79 名前列腺癌患者，他们被随机分配到三个组别：每日摄入含 30 毫克番茄红素的番茄制品组、番茄制品加其他营养补充剂组以及对照组，干预时间为 3 周。结果显示，番茄制品组患者的 PSA 水平显著降低，尤其是中等风险患者。</t>
  </si>
  <si>
    <t>一项随机、双盲、安慰剂对照、平行组研究：连续 12 周每日摄入高番茄红素番茄对脂质代谢的影响</t>
  </si>
  <si>
    <t>一项随机双盲安慰剂对照试验研究了每日摄入高番茄红素番茄 12 周对血脂代谢的影响，选取 74 名日本健康受试者，LDL-C 水平在 120 至 160mg/dL 之间，结果显示高番茄红素番茄摄入能增加血清番茄红素水平并降低 LDL-C 水平。</t>
  </si>
  <si>
    <t>番茄汁中的反式番茄红素可降低人体血浆样本中的炎症生物标志物水平：一项干预试验</t>
  </si>
  <si>
    <t>一项随机交叉对照临床试验研究了番茄汁对高心血管风险人群血浆炎症生物标志物的影响。28 名志愿者分别接受 200 毫升低剂量或 400 毫升高剂量番茄汁干预 4 周，结果显示番茄汁干预后血浆中 ICAM-1 和 VCAM-1 浓度显著降低，表明番茄汁中的番茄红素可能通过降低炎症标志物浓度来降低心血管疾病风险。</t>
  </si>
  <si>
    <t>补充虾青素对皮肤健康的影响：临床研究的系统评价</t>
  </si>
  <si>
    <t>一项系统综述研究了虾青素补充剂对皮肤健康的影响，研究对象为健康日本女性，干预物剂量为 3 至 12 毫克/天，持续 2 至 16 周。结果显示，虾青素补充剂能改善皮肤质地、减少皱纹、提高皮肤水分含量，并能保护皮肤免受紫外线损伤，且未报告严重不良事件。</t>
  </si>
  <si>
    <t>虾青素对 2 型糖尿病患者 AMPK / 自噬轴及炎症的影响：一项随机、双盲、安慰剂对照试验</t>
  </si>
  <si>
    <t>一项随机双盲安慰剂对照临床试验研究了虾青素对 2 型糖尿病患者自噬途径和炎症标志物的影响，60 名 2 型糖尿病患者参与，随机分为两组，分别接受 10 mg 虾青素或安慰剂，干预 12 周。结果显示虾青素可显著提高自噬相关基因表达，降低 mTOR 基因表达，并显著降低血清 TNF-α、IL-6 和 IL-1β水平。</t>
  </si>
  <si>
    <t>吡咯并喹啉醌二钠盐可改善年轻人和老年人的脑功能</t>
  </si>
  <si>
    <t>吡咯喹啉醌钠盐可改善 20 至 65 岁成人认知功能</t>
  </si>
  <si>
    <t>六周补充吡咯喹啉醌对轻度认知障碍老年人线粒体生物标志物、脑代谢和认知的影响：一项随机对照试验</t>
  </si>
  <si>
    <t>二氢-PQQ 可改善轻度认知障碍老人的认知和脑代谢</t>
  </si>
  <si>
    <t>代谢</t>
  </si>
  <si>
    <t>水飞蓟素、吡咯喹啉醌钠盐和杨梅素的摄入：对酒精水平及氧化应激标志物的影响——一项初步研究</t>
  </si>
  <si>
    <t>水飞蓟素、吡咯喹啉醌钠盐和杨梅素可降低体内酒精水平，减轻氧化应激，保护肝脏</t>
  </si>
  <si>
    <t>神经、抑郁、压力</t>
  </si>
  <si>
    <t>卵磷脂、磷脂酰丝氨酸和磷脂酸复合物可减轻经前综合征症状：一项随机、安慰剂对照、双盲临床试验的结果</t>
  </si>
  <si>
    <t>磷脂酰丝氨酸和磷脂酸复合物能显著减轻经前综合征症状</t>
  </si>
  <si>
    <t xml:space="preserve">精力  </t>
  </si>
  <si>
    <t>磷脂酰丝氨酸对活跃男性骑行运动能力的影响</t>
  </si>
  <si>
    <t>大豆磷脂酰丝氨酸补充可提高运动耐力，具有潜在的促运动性能</t>
  </si>
  <si>
    <t>一种基于L-苏糖酸镁的配方可改善中国健康成年人的大脑认知功能</t>
  </si>
  <si>
    <t>磷脂酰丝氨酸可显著改善健康成年人的认知功能，尤其对老年人效果更佳</t>
  </si>
  <si>
    <t>肺部</t>
  </si>
  <si>
    <t>姜黄素和槲皮素在新冠肺炎早期的潜在治疗作用——一项实用随机临床试验的结果</t>
  </si>
  <si>
    <t>一项随机对照临床试验研究了早期新冠患者中，每日口服 168 毫克姜黄素和 260 毫克槲皮素的补充剂，连续 14 天的治疗效果。结果显示，接受该补充剂的患者中病毒清除速度更快，且相关急性症状的缓解也更为迅速。</t>
  </si>
  <si>
    <t>槲皮素可降低高尿酸血症前期男性的血浆尿酸水平：一项随机、双盲、安慰剂对照交叉试验</t>
  </si>
  <si>
    <t>一项随机双盲安慰剂对照交叉试验研究了 22 名健康男性，他们基线血浆尿酸浓度处于较高但健康范围（339 μmol/L）。研究给予受试者每日 500 毫克槲皮素，持续 4 周。结果显示，槲皮素治疗后血浆尿酸浓度显著降低 26.5 μmol/L，而空腹血糖、尿酸排泄或血压未受影响。</t>
  </si>
  <si>
    <t>一项随机安慰剂对照试验的设计：评估槲皮素对冠状动脉搭桥手术患者的抗炎和清除衰老细胞作用</t>
  </si>
  <si>
    <t>一项随机双盲安慰剂对照试验旨在评估槲皮素对接受冠状动脉旁路移植手术患者抗炎和清除衰老细胞的效果，100 名患者将随机分为两组，一组接受 500 mg 槲皮素每日两次，另一组接受安慰剂，从手术前 2 天至术后第 7 天，主要结果是评估对血液炎症因子、心肌损伤和衰老标志物的影响。</t>
  </si>
  <si>
    <t>肌酸</t>
  </si>
  <si>
    <t>一水肌酸对训练人群耐力表现的影响：系统综述与荟萃分析</t>
  </si>
  <si>
    <t xml:space="preserve">一项 Meta 分析/系统评价对受训练人群进行 5 至 70 天不等剂量的肌酸补充干预结果显示该干预未能改善受试者的耐力表现甚至表现出微小的负面效应 </t>
  </si>
  <si>
    <t>睡眠、压力、肌肉、减脂</t>
  </si>
  <si>
    <t>补充南非醉茄（印度人参）：其作用机制、健康益处及对运动表现的影响综述</t>
  </si>
  <si>
    <t>一项系统综述研究分析了南非醉茄对人类健康和运动表现的影响，发现其对改善睡眠质量、降低压力水平、提高肌肉力量和耐力等方面具有积极作用。</t>
  </si>
  <si>
    <t>南非醉茄提取物对睡眠的影响：系统评价与荟萃分析</t>
  </si>
  <si>
    <t>一项系统评价和元分析研究了南非醉茄提取物对睡眠的影响，纳入了 5 项随机对照试验，涉及 400 名 18 岁及以上参与者。研究结果显示，南非醉茄提取物对改善整体睡眠有小但显著的效果，尤其在失眠患者中，以及剂量≥600mg/天和治疗持续时间≥8 周的亚组中效果更显著。</t>
  </si>
  <si>
    <t>焦虑、睡眠</t>
  </si>
  <si>
    <t>睡茄属植物用于治疗焦虑和失眠的安全性与有效性：系统评价和荟萃分析</t>
  </si>
  <si>
    <t>一项系统评价和元分析研究了南非醉茄对焦虑和失眠的安全性和有效性。研究纳入了 254 名受试者，他们接受了南非醉茄或安慰剂的干预。结果显示，南非醉茄能显著改善汉密尔顿焦虑量表评分以及睡眠参数，如睡眠起始潜伏期、总睡眠时间和睡眠效率。</t>
  </si>
  <si>
    <t>南非醉茄（睡茄属植物）对压力和焦虑的影响：系统评价与荟萃分析</t>
  </si>
  <si>
    <t>一项系统评价和元分析研究了南非醉茄对压力和焦虑的影响，纳入了 9 项随机对照试验，涉及 558 名患者。这些研究中，南非醉茄的剂量从每天 125 毫克到每天 600 毫克不等，治疗周期从 30 天到 90 天。结果显示南非醉茄配方对感知压力量表（PSS）、汉密尔顿焦虑量表（HAS）和血清皮质醇水平有显著影响，与安慰剂组相比，南非醉茄组在这些指标上均有显著改善。</t>
  </si>
  <si>
    <t>抗衰、免疫力、抗炎</t>
  </si>
  <si>
    <t>α-酮戊二酸：调控小鼠衰老的代谢物</t>
  </si>
  <si>
    <t>一篇围绕 α- 酮戊二酸（aKG）的评论类研究，解读 Asadi Shahmirzadi 等（2020）的研究，指出中年小鼠补钙 - aKG 可延长寿命、压缩发病期、降虚弱度，提及其抗炎作用与性别差异，还探讨代谢对衰老的调控及健康跨度评估意义。</t>
  </si>
  <si>
    <t>抗衰、抗氧、肌肉、骨骼、神经、肠道、抗炎</t>
  </si>
  <si>
    <t>补充α-酮戊二酸膳食以改善人类健康</t>
  </si>
  <si>
    <t>一项综述研究，聚焦 α- 酮戊二酸（AKG），整合其生化特性、药代动力学及在人类衰老与多器官相关疾病中作用的现有证据，指出应用潜力与争议，为后续研究提供方向。</t>
  </si>
  <si>
    <t>基于氨基葡萄糖的联合疗法缓解膝骨关节炎疼痛的系统评价与网络荟萃分析：系统评价</t>
  </si>
  <si>
    <t>一项系统综述和网络元分析研究了 30 项随机对照试验，涉及 5265 名膝骨关节炎患者，比较了不同基于葡萄糖胺的联合疗法在减轻膝骨关节炎疼痛方面的疗效。结果显示，氨糖软骨素能有效缓解膝骨关节炎引发的疼痛，改善患者关节功能，且在与其他物质组合使用时，也展现出对膝骨关节炎的积极作用。</t>
  </si>
  <si>
    <t>氨糖治疗骨关节炎的有效性和安全性评价：一项系统评价</t>
  </si>
  <si>
    <t>一项系统综述研究考察了氨糖对膝骨关节炎患者的效果与安全性，研究对象为 15 项随机对照试验，涉及 2859 名参与者，干预物为 1500mg/天的氨糖，部分联合软骨素，持续 1.5 至 36 个月。结果显示，与安慰剂相比，氨糖能显著降低全球疼痛评分，且未报告严重不良事件。</t>
  </si>
  <si>
    <t>维生素 D3 治疗对多囊卵巢症状的影响：一项前瞻性双盲两阶段随机对照临床试验</t>
  </si>
  <si>
    <t>一项前瞻性双盲两阶段随机对照临床试验研究了维生素 D3 对多囊卵巢综合征（PCOS）症状的影响。研究对象为成年女性 PCOS 患者，干预物为每周 30000 国际单位的维生素 D3，持续 12 周。结果显示，维生素 D3 治疗能改善卵巢形态和月经周期规律性，提高排卵率，降低睾酮水平，表明维生素 D3 可能是 PCOS 管理的有效辅助治疗手段。</t>
  </si>
  <si>
    <t>补充维生素 D3 能否改善农村青少年的抑郁评分？一项随机对照试验</t>
  </si>
  <si>
    <t>一项随机对照试验研究了维生素 D3 补充剂对农村青少年抑郁评分的影响，试验为期 9 周，干预组每天给予 2250 国际单位的维生素 D3，结果显示维生素 D3 补充剂显著降低了贝克抑郁量表评分，表明维生素 D3 补充可能改善青少年的抑郁症状。</t>
  </si>
  <si>
    <t>纯母乳喂养新生儿口服维生素 D3 补充剂的效果：前瞻性、随机、双盲、安慰剂对照试验</t>
  </si>
  <si>
    <t>一项前瞻性随机双盲对照试验研究了口服维生素 D3 补充剂对纯母乳喂养新生儿的影响，46 名新生儿每天接受 400IU 的维生素 D3 补充，持续 4 个月，结果显示该剂量能显著提高 4 个月大时的 25(OH)D 浓度。</t>
  </si>
  <si>
    <t>维生素 K2 治疗夜间腿部抽筋的随机临床试验</t>
  </si>
  <si>
    <t>一项随机临床试验研究了维生素 K2（180μg，每日一次，持续 8 周）对 65 岁以上老年人夜间腿部抽筋的管理效果。结果显示，维生素 K2 显著降低了抽筋的频率、严重程度和持续时间，且安全性良好。</t>
  </si>
  <si>
    <t>一项随机试验研究，涉及在印度和坦桑尼亚的 11000 名初产妇，分别给予每天 500 毫克和 1500 毫克的钙补充剂直至分娩。结果显示，低剂量钙补充（500 毫克/天）在预防子痫前期方面不劣于高剂量（1500 毫克/天）。</t>
  </si>
  <si>
    <t>孕期补充钙对孕期及产后 1 年骨骼的影响</t>
  </si>
  <si>
    <t>一项随机双盲对照研究招募了 64 名孕妇，她们在怀孕 16 周时被随机分配接受每天 1000 毫克钙补充剂或安慰剂直至分娩，结果显示补充钙的孕妇在产后 12 个月时的桡骨和胫骨皮质骨密度显著增加，表明孕期补充钙可能有助于改善产后骨密度。</t>
  </si>
  <si>
    <t>补充 DHA 通过增强中国轻度认知障碍老年自噬作用改善认知功能：一项随机安慰剂对照试验</t>
  </si>
  <si>
    <t>一项随机双盲安慰剂对照试验研究了中国患有轻度认知障碍的老年人，结果显示每日口服 2 克 DHA 补充剂持续 24 个月可能改善认知功能，并改变与 Aβ介导的自噬相关的血液生物标志物。</t>
  </si>
  <si>
    <t>随机对照试验：花生四烯酸和二十二碳六烯酸补充剂与早产儿大脑发育：一项双盲随机对照试验</t>
  </si>
  <si>
    <t>一项随机对照试验研究了花生四烯酸和二十二碳六烯酸补充剂对早产儿大脑发育的影响。研究对象为胎龄小于 29 周的早产儿，干预物为每天每公斤体重 100 毫克花生四烯酸和 50 毫克二十二碳六烯酸，持续至 36 周胎龄。结果显示，补充组婴儿的大脑白质微结构有显著改善。</t>
  </si>
  <si>
    <t>身高、发育</t>
  </si>
  <si>
    <t>孕期坚持随机分配的高剂量二十二碳六烯酸（DHA）补充剂的参与者的早产和晚期早产发生率</t>
  </si>
  <si>
    <t>一项临床试验研究了孕期高剂量二十二碳六烯酸（DHA）补充对早产率的影响，1100 名单胎孕妇参与，她们被随机分配接受每日 200 毫克或 1000 毫克 DHA 的补充，结果显示，高剂量 DHA 补充且依从性好的孕妇，其早产率显著降低。</t>
  </si>
  <si>
    <t>补充 DHA 与妊娠结局</t>
  </si>
  <si>
    <t>一项随机双盲对照试验研究了孕期 DHA 补充对妊娠结果的影响，共 350 名孕妇参与，从孕期 20 周开始至分娩，每日补充 600mg DHA。结果显示，DHA 组孕妇和新生儿的红细胞磷脂 DHA 水平更高，妊娠期延长 2.9 天，新生儿体重增加 172 克，身高增加 0.7 厘米。</t>
  </si>
  <si>
    <t>补充 DHA 可改善健康年轻人的记忆力和反应时间：一项随机对照试验</t>
  </si>
  <si>
    <t>一项随机对照试验研究了 DHA 补充剂对健康年轻人认知功能的影响，176 名 18 至 45 岁的非吸烟者且 DHA 摄入量低的成年人参与了 6 个月的试验，每日摄入 1.16 克 DHA 或安慰剂，结果显示 DHA 组的记忆力和反应时间显著改善。</t>
  </si>
  <si>
    <t>补充富含二十碳五烯酸但不含二十二碳六烯酸的油可改善健康年轻人的整体认知功能：随机对照试验结果</t>
  </si>
  <si>
    <t>一项随机对照试验研究了富含二十碳五烯酸（EPA）和二十二碳六烯酸（DHA）的油脂补充对健康年轻人认知功能的影响。310 名 25 至 49 岁的健康成年人参与了 26 周的试验，分别摄入 900 mg DHA 和 270 mg EPA、360 mg DHA 和 90 0mg EPA 或 3000 mg 橄榄油安慰剂。结果显示，与安慰剂和 DHA 富油相比，EPA 富油显著改善了全球认知功能的准确性和速度，并提高了记忆准确性。</t>
  </si>
  <si>
    <t>甲状腺</t>
  </si>
  <si>
    <t>在硒水平较低的瑞典老年人群中补充硒和辅酶 Q10——对甲状腺激素、心血管死亡率和生活质量的积极影响</t>
  </si>
  <si>
    <t>一项随机双盲对照研究在瑞典低硒老年人群中开展，研究对象为 414 名老年人，干预措施为每日补充硒酵母 200 μg 和辅酶 Q10 200 mg，持续 48 个月。结果显示，这种补充显著提高了游离 T3 和反 T3 水平，降低了游离 T4 水平，并减少了 TSH 水平的上升，与安慰剂组相比，还降低了心血管死亡率并改善了健康相关生活质量。</t>
  </si>
  <si>
    <t>建立最佳硒状态：一项随机、双盲、安慰剂对照试验的结果</t>
  </si>
  <si>
    <t>一项随机双盲安慰剂对照试验研究了不同形式硒的剂量反应关系，选取 119 名 50 至 64 岁的英国健康男女，让他们在 12 周内每天摄入含 50、100 或 200 微克硒的酵母片或富含硒的洋葱餐等，结果显示，血浆硒蛋白 P 浓度随硒摄入量增加而上升，达到稳态后，50 微克/天的硒摄入即可使血浆硒蛋白 P 浓度达到最优。</t>
  </si>
  <si>
    <t>补充硒对轻中度溃疡性结肠炎患者疾病活动度和免疫炎症生物标志物的影响：一项随机、双盲、安慰剂对照临床试验</t>
  </si>
  <si>
    <t>一项随机双盲安慰剂对照临床试验研究了硒补充剂对轻度至中度溃疡性结肠炎患者疾病活动度和免疫炎症生物标志物的影响。100 名患者随机分为两组，一组每天口服 200 微克硒代蛋氨酸胶囊，另一组服用安慰剂，持续 10 周。结果显示，硒组患者的 SCCAI 评分平均值降低，且临床改善和生活质量提升，血清中 IL-17 浓度降低。</t>
  </si>
  <si>
    <t>两种不同形式硒对健康男性氧化应激生物标志物的比较效果：一项随机临床试验</t>
  </si>
  <si>
    <t>一项随机临床试验研究了硒的不同形式对健康男性氧化应激生物标志物的影响。69 名健康男性参与，随机接受硒酵母（200 或 285 毫克/天）或硒蛋氨酸（200 毫克/天）干预 9 个月。结果显示，硒酵母能显著降低尿液中氧化应激标志物水平，而硒蛋氨酸则无此效果。</t>
  </si>
  <si>
    <t>尼罗罗非鱼（Oreochromis niloticus）鱼皮海洋胶原蛋白肽：特性表征与伤口愈合评估</t>
  </si>
  <si>
    <t>一项体外和体内实验研究了尼罗罗非鱼皮肤来源的海洋胶原肽（MCPs）对伤口愈合的影响。实验中，MCPs 以 6.25-50.0μg/mL 的浓度处理 HaCaT 细胞 6-24 小时，并在新西兰白兔身上每日一次处理 28 天。结果显示，MCPs 能显著促进细胞迁移和伤口愈合，且在兔子的深部分厚度烫伤模型中，MCPs 组的伤口愈合率显著高于模型对照组。</t>
  </si>
  <si>
    <t>骨关节、骨骼</t>
  </si>
  <si>
    <t>口服胶原蛋白肽通过调节透明质酸合成，在体内减轻紫外线 B 照射诱导的皮肤脱水</t>
  </si>
  <si>
    <t>一项动物实验研究以无毛小鼠为对象，给予 500 或 1000 mg/kg 体重的胶原肽干预 9 周，同时进行 UVB 辐射处理。结果显示，胶原肽能增加皮肤水分含量、减少皱纹形成，还上调了透明质酸合酶（HAS-1 和 HAS-2）的表达，下调了透明质酸酶（HYAL-1 和 2）的表达。</t>
  </si>
  <si>
    <t>护甲</t>
  </si>
  <si>
    <t>罗非鱼（尼罗罗非鱼）明胶肽中抗氧化肽的抗光老化作用及其纯化研究</t>
  </si>
  <si>
    <t>一项动物实验研究以雄性 ICR 小鼠为对象，评估了不同剂量（50、100、200 mg/kg）的罗非鱼明胶肽（TGP）对紫外线诱导皮肤光老化的影响，持续 10 周。结果显示 TGP 能显著减轻紫外线引起的皮肤氧化损伤，提高抗氧化酶活性，减少脂质过氧化产物，并促进胶原蛋白合成，具有潜在的抗光老化效果。</t>
  </si>
  <si>
    <t>特定胶原蛋白肽口服补充对人体皮肤生理有益：一项双盲、安慰剂对照研究</t>
  </si>
  <si>
    <t>一项双盲安慰剂对照研究，选取 69 名 35 至 55 岁女性为研究对象，她们被随机分配至每日摄入 2.5 克或 5.0 克特定胶原肽或安慰剂的三组中，持续 8 周。结果显示，与安慰剂组相比，胶原肽摄入组的皮肤弹性在 4 周和 8 周后显著提高，尤其在 50 岁以上女性中效果更为显著。</t>
  </si>
  <si>
    <t>口服特定生物活性胶原蛋白肽可减少皮肤皱纹并增加真皮基质合成</t>
  </si>
  <si>
    <t>一项双盲、安慰剂对照研究，选取 114 名 45 至 65 岁女性，每日口服 2.5 克特定生物活性胶原肽（BCP）或安慰剂，持续 8 周。结果显示，BCP 组眼周皱纹体积在 4 周和 8 周时分别显著减少 7.2%和 20.1%，且停药 4 周后仍保持 11.5%的减少。</t>
  </si>
  <si>
    <t>褪黑素治疗持续性意识障碍的疗效：一项双盲随机临床试验</t>
  </si>
  <si>
    <t>一项随机双盲临床试验研究了褪黑素对长期意识障碍患者的疗效。研究对象为 46 名长期意识障碍患者，干预物为 3 毫克褪黑素，持续 14 天。结果显示，褪黑素能显著改善无反应觉醒综合征患者的昏迷恢复量表评分，尤其在视觉评分上，且在 6 个月后预后更佳。</t>
  </si>
  <si>
    <t>抗炎、心脏</t>
  </si>
  <si>
    <t>褪黑素可减轻冠状动脉搭桥手术患者的炎症反应并改善缺血再灌注损伤结局：一项随机安慰剂对照研究</t>
  </si>
  <si>
    <t>一项随机双盲安慰剂对照研究显示，给予接受冠状动脉旁路移植手术患者术前 5 天每天 60 毫克的褪黑素，可显著降低术后炎症标志物水平，减少心肌缺血再灌注损伤，改善术后恢复质量，且未报告不良反应。</t>
  </si>
  <si>
    <t>纯化喜来芝玛卡对健康志愿者睾酮水平的临床评估</t>
  </si>
  <si>
    <t>一项随机双盲安慰剂对照临床研究评估了纯化喜来芝玛卡对 45 至 55 岁健康志愿者睾酮水平的影响。志愿者每日两次服用 250 毫克纯化喜来芝玛卡，连续 90 天。结果显示，与安慰剂相比，纯化喜来芝玛卡显著增加了总睾酮、游离睾酮和脱氢表雄酮（DHEAS）水平。</t>
  </si>
  <si>
    <t>玛卡提取物对轻度勃起功能障碍患者幸福感和性表现的主观影响：一项随机双盲临床试验</t>
  </si>
  <si>
    <t>一项随机双盲临床试验研究了秘鲁玛卡提取物对 50 名患有轻度勃起功能障碍的成年男性主观感受和性功能的影响，受试者每天接受 2400 毫克玛卡或安慰剂，持续 12 周。结果显示，与安慰剂组相比，玛卡组患者在国际勃起功能指数（IIEF-5）和满意度调查（SAT-P）得分上均有更显著的提升。</t>
  </si>
  <si>
    <t>纯化的喜来芝对健康志愿者睾酮水平的临床评价</t>
  </si>
  <si>
    <t>一项随机双盲安慰剂对照临床研究评估了纯化喜马拉雅沥青（Shilajit）对45至55岁健康男性志愿者睾酮水平的影响，结果显示连续90天每天两次，每次250毫克的Shilajit治疗显著增加了总睾酮、游离睾酮和脱氢表雄酮（DHEAS）水平。</t>
  </si>
  <si>
    <t>补充喜来芝对疲劳引起的肌肉力量下降和血清羟脯氨酸水平的影响</t>
  </si>
  <si>
    <t>一项随机双盲安慰剂对照研究，选取63名休闲运动男性，分别给予低剂量（250mg/天）和高剂量（500mg/天）的Shilajit补充8周，结果显示高剂量组在疲劳后保持最大肌肉力量的能力优于低剂量和安慰剂组，且高剂量组血清羟脯氨酸水平显著降低。</t>
  </si>
  <si>
    <t>补充天然草本矿物质喜来芝的中年女性皮肤转录组显示微血管和细胞外基质机制的诱导</t>
  </si>
  <si>
    <t>一项临床研究探讨了喜马拉雅矿物物质Shilajit对中年女性皮肤基因表达的影响。研究对象为30至65岁女性，分为三组，分别接受安慰剂、125mg或250mg的Shilajit补充，持续14周。结果显示，250mg剂量的Shilajit能改善皮肤微循环，并上调与血管内皮细胞迁移和血管生成相关的基因表达。</t>
  </si>
  <si>
    <t>含罗伊氏乳杆菌 DSM 17648 的益生菌作为幽门螺杆菌感染辅助治疗的随机双盲安慰剂对照试验</t>
  </si>
  <si>
    <t>一项随机双盲安慰剂对照试验研究了含有 Lactobacillus reuteri DSM 17648 益生菌作为辅助治疗对幽门螺杆菌感染的疗效。研究对象为幽门螺杆菌感染的治疗初治患者，干预物为每日一次 200 mg 的益生菌或安慰剂，持续 4 周。结果显示，益生菌组的幽门螺杆菌根除率高于安慰剂组，且显著减轻了消化不良、腹痛等症状及不良反应。</t>
  </si>
  <si>
    <t>非活罗伊氏乳杆菌联合 14 天标准三联疗法对幽门螺杆菌根除的影响：一项随机双盲安慰剂对照试验</t>
  </si>
  <si>
    <t>一项随机双盲安慰剂对照试验研究了非活性乳杆菌 Lactobacillus reuteri DSM17648 与 14 天标准三联疗法联合使用对幽门螺杆菌根除的影响。200 名幽门螺杆菌感染成年患者随机分为两组，一组接受非活性 L.reuteri DSM17648（每天两次，每次两包），另一组接受安慰剂，共 4 周。结果显示，非活性 L.reuteri DSM17648 能改善胃肠道症状评分，并降低腹胀和腹泻的发生频率。</t>
  </si>
  <si>
    <t>大果榆提取物调节健康成年人肠道微生物群：一项随机、安慰剂对照临床试验</t>
  </si>
  <si>
    <t>一项随机、安慰剂对照临床试验研究了乌树提取物（UME）对健康成年人肠道微生物群的影响。研究对象为健康成年人，干预物为500mg/天的乌树提取物，持续4周。结果显示，虽然微生物变化高度个性化，但某些细菌种类如Eubacterium ventriosum、Blautia faecis和Ruminococcus gnavus在UME组中增加，且与免疫调节作用相关。</t>
  </si>
  <si>
    <t>基于卵磷脂的乳香提取物递送形式对成人急性腹泻的积极作用</t>
  </si>
  <si>
    <t>一项随机双盲安慰剂对照临床研究显示，49名成年急性腹泻患者随机分配接受250mg基于卵磷脂递送形式的乳香提取物（CASP）或安慰剂治疗5天，结果显示CASP组患者恢复健康的时间显著缩短，平均为3.08天，而安慰剂组为4.44天。</t>
  </si>
  <si>
    <t>B 族维生素可降低中风后抑郁的长期风险：VITATOPS-抑郁试验</t>
  </si>
  <si>
    <t>一项随机双盲安慰剂对照试验研究了 B 族维生素对中风幸存者长期抑郁风险的影响。研究对象为中风幸存者，干预物为每天 2 毫克叶酸、25 毫克维生素 B6 和 0.5 毫克维生素 B12，持续 1 至 10.5 年。结果显示，与安慰剂相比，B 族维生素治疗组主要抑郁发作的风险降低了 52%。</t>
  </si>
  <si>
    <t>大剂量复合维生素 B 补充剂对脑代谢与氧化应激血液生物标志物关系的影响：一项随机对照试验</t>
  </si>
  <si>
    <t>一项随机对照试验研究了高剂量 B 族维生素补充剂对大脑代谢和血液氧化应激生物标志物间关系的影响。32 名 30 至 65 岁的健康成年人参与，每日接受两次高剂量 B 族维生素补充剂，持续 6 个月。结果显示该补充剂能提高维生素 B6 和 B12 水平，降低同型半胱氨酸水平，但对叶酸水平无影响。</t>
  </si>
  <si>
    <t>补充甲基叶酸、5′-磷酸吡哆醛和甲钴胺对亚甲基四氢叶酸还原酶、甲硫氨酸合成酶和甲硫氨酸合成酶还原酶基因多态性患者同型半胱氨酸和低密度脂蛋白胆固醇水平的影响：一项随机对照试验</t>
  </si>
  <si>
    <t>一项随机双盲对照试验研究了叶酸、吡哆醛-5'-磷酸和甲基钴胺素对具有特定基因多态性患者同型半胱氨酸和低密度脂蛋白胆固醇水平的影响。54 名 40 至 75 岁、同型半胱氨酸水平升高且中度 LDL-C 水平的患者参与，每日两次服用含叶酸（1 mg）、吡哆醛-5'-磷酸（50 mg）和甲基钴胺素（500 mcg）的胶囊或安慰剂，持续 180 天。结果显示，治疗组同型半胱氨酸水平显著降低 30.0%，LDL-C 水平降低 7.5%，而安慰剂组同型半胱氨酸水平仅轻微增加 1.8%，LDL-C 水平增加 2.6%。</t>
  </si>
  <si>
    <t>口服维生素 B1 和甲钴胺改善干眼症患者角膜神经的效用：一项体内共聚焦显微镜研究</t>
  </si>
  <si>
    <t>一项随机双盲对照研究，纳入 199 名干眼病患者，随机分为治疗组和对照组。治疗组患者每日三次口服维生素 B1 和甲钴胺各一片，同时每日五次使用人工泪液，持续三个月。结果显示，治疗组在角膜神经长度、宽度、神经瘤数量等指标上显著改善，且在干眼症状如干燥、疼痛、畏光等方面也有显著改善。</t>
  </si>
  <si>
    <t>小檗碱和益生菌对 2 型糖尿病的肠道微生物群相关影响（PREMOTE 研究）</t>
  </si>
  <si>
    <t>一项随机双盲安慰剂对照试验研究了小檗碱（BBR）和益生菌对新诊断 2 型糖尿病患者的血糖控制和肠道菌群的影响。409 名患者随机分为四组，分别接受 BBR（0.6g bid）、BBR+益生菌、益生菌或安慰剂治疗 12 周。结果显示，BBR 和 BBR+益生菌组糖化血红蛋白数值显著下降，且 BBR 治疗显著改变了肠道菌群组成。</t>
  </si>
  <si>
    <t>小檗碱植物脂质体对多囊卵巢综合征女性生殖、皮肤和代谢特征的影响：一项对照、随机、多中心、开放标签临床试验</t>
  </si>
  <si>
    <t>一项随机对照多中心开放标签临床试验研究了 90 天内服 550 毫克×2/天的黄连素植物体对 130 名患有多囊卵巢综合征的巴基斯坦女性的生殖、皮肤和代谢特征的影响。结果显示，BP 能显著改善月经不规律、多囊卵巢解剖学特征、痤疮和多毛症状，且无明显副作用。</t>
  </si>
  <si>
    <t>小檗碱对术后心房颤动的预防作用</t>
  </si>
  <si>
    <t>一项随机双盲安慰剂对照试验研究了小檗碱对心脏手术后房颤的预防效果。研究对象为接受孤立冠状动脉旁路移植术的 200 名患者，干预物为口服小檗碱 0.4g，每日三次，持续 7 天。结果显示，小檗碱可将房颤发生率从 35%降低至 20%，且无显著不良反应。</t>
  </si>
  <si>
    <t>辅助使用小檗碱可减少精神分裂症患者抗精神病药物相关的体重增加及代谢综合征：一项随机对照试验</t>
  </si>
  <si>
    <t>一项随机对照试验研究了 113 名患有精神分裂症并出现代谢综合征的患者，结果显示，每日 600 毫克的补充小檗碱持续 12 周可显著减少体重增加和代谢综合征，且未出现严重不良事件。</t>
  </si>
  <si>
    <t>小檗碱对奥氮平所致轻度代谢紊乱患者肠道微生物群的影响</t>
  </si>
  <si>
    <t>一项随机双盲安慰剂对照研究，纳入 132 名服用奥氮平至少 9 个月的精神分裂症或双相情感障碍患者，随机给予小檗碱或安慰剂治疗 12 周。结果显示，小檗碱可降低患者的血糖、血脂、BMI 等代谢指标，调节肠道菌群，降低厚壁菌门和肠杆菌科的丰度，增加拟杆菌门的丰度。</t>
  </si>
  <si>
    <t>NR - 安全研究：一项高剂量烟酰胺核糖用于帕金森病的随机双盲安全性试验</t>
  </si>
  <si>
    <t>一项随机双盲安全试验研究了高剂量烟酰胺核糖（NR）对帕金森病（PD）患者的安全性，20 名 PD 患者随机分为 NR 组（每日两次，每次 1500 毫克）和安慰剂组，持续四周。结果显示 NR 治疗耐受性良好，未出现中度或重度不良事件，且与安慰剂相比，NR 治疗组的总 MDS-UPDRS 评分有所改善。</t>
  </si>
  <si>
    <t>烟酰胺核糖苷用于外周动脉疾病：NICE 随机临床试验</t>
  </si>
  <si>
    <t>一项随机双盲临床试验研究了 90 名下肢外周动脉疾病患者，评估了 6 个月口服烟酰胺核糖（NR）单独或与白藜芦醇联合使用对步行距离的影响。NR 剂量为每日 1000 毫克，结果显示 NR 显著改善了 6 分钟步行距离，而白藜芦醇并未增加 NR 单独使用的效果。</t>
  </si>
  <si>
    <t>心血管、血压、抗衰</t>
  </si>
  <si>
    <t>长期补充烟酰胺核糖对健康的中老年人耐受性良好，且能提高体内烟酰胺腺嘌呤二核苷酸（NAD⁺）水平</t>
  </si>
  <si>
    <t>一项随机双盲安慰剂对照交叉临床试验研究了慢性补充烟酰胺核糖（NR）对健康中年和老年成年人的影响。研究中，60 名 55 至 79 岁的健康中年和老年男性和女性参与，他们每天两次接受 500 毫克的 NR 补充，共 6 周。结果显示，NR 补充耐受性良好，能有效刺激 NAD+代谢，并可能降低收缩压和动脉硬度。</t>
  </si>
  <si>
    <t>抗炎、抗氧</t>
  </si>
  <si>
    <t>提升 NAD 水平可通过精氨酸生物合成和氧化还原调控，优先抑制 Th17 介导的炎症反应</t>
  </si>
  <si>
    <t>一项人体临床研究，选取 25 名健康志愿者，每日两次摄入 500mg 的烟酰胺核糖（NR），持续 7 天。研究结果显示，NR 能够降低 CD4+T 细胞中 Th1 和 Th17 的分子标志物，尤其对 Th17 的影响更为显著，同时增加血清中烟酰胺和精氨酸的水平。</t>
  </si>
  <si>
    <t>免疫力、抗炎</t>
  </si>
  <si>
    <t>烟酰胺核糖苷对慢性阻塞性肺疾病气道炎症的影响：一项随机、安慰剂对照试验</t>
  </si>
  <si>
    <t>一项随机双盲安慰剂对照试验研究了烟酰胺核糖苷（NR）对慢性阻塞性肺病（COPD）患者气道炎症的影响，40 名稳定期 COPD 患者每日两次接受 1 克 NR 或安慰剂治疗 6 周，结果显示 NR 治疗显著降低了痰液中白细胞介素-8（IL-8）水平，减少了 63.7%，且这种效果在治疗结束后 12 周的随访中仍持续存在。</t>
  </si>
  <si>
    <t>肝脏、抗炎</t>
  </si>
  <si>
    <t>NRPT 可降低非酒精性脂肪性肝病患者的肝脏炎症标志物水平：一项双盲、安慰剂对照临床试验</t>
  </si>
  <si>
    <t>一项随机双盲安慰剂对照临床试验研究了非酒精性脂肪肝病（NAFLD）患者中，每日服用推荐剂量（NRPT 1X）或双倍剂量（NRPT 2X）的 NRPT（烟酰胺核糖和 pterostilbene 的组合）6 个月对肝脏脂肪含量和炎症标志物的影响。结果显示 NRPT 1X 可降低肝脏酶 ALT 和有害脂质 ceramide 14:0 的水平，但对肝脏脂肪含量无显著影响。</t>
  </si>
  <si>
    <t>白藜芦醇补充剂对 2 型糖尿病患者心血管代谢危险因素的影响：一项随机、双盲对照试验</t>
  </si>
  <si>
    <t>一项随机双盲对照试验研究了 71 名超重 2 型糖尿病患者，给予受试者每日 1000 毫克的白藜芦醇或安慰剂，持续 8 周。结果显示，白藜芦醇能降低空腹血糖、提高高密度脂蛋白水平，且对胰岛素水平有显著影响，但在人体测量指标上未观察到显著差异。</t>
  </si>
  <si>
    <t>使用含白藜芦醇的口腔崩解片后，血浆白藜芦醇水平及获得性牙釉质膜中耐酸蛋白含量的升高</t>
  </si>
  <si>
    <t>一项临床研究评估了含有 15mg 白藜芦醇的舌下速溶片对唾液蛋白组成和血浆白藜芦醇浓度的影响。10 名志愿者参与了两阶段交叉双盲试验，结果显示，白藜芦醇处理组中与抗酸和抗菌功能相关的蛋白质表达增加，且在给药后 30 分钟血浆中白藜芦醇浓度达到峰值。</t>
  </si>
  <si>
    <t>肾脏</t>
  </si>
  <si>
    <t>长期补充反式白藜芦醇对健康年轻人认知功能、情绪、睡眠、健康状况和脑血流等方面的影响</t>
  </si>
  <si>
    <t>一项随机双盲安慰剂对照研究考察了 60 名 18 至 30 岁的健康年轻人，他们每日接受 500 毫克的反式白藜芦醇或安慰剂，持续 28 天。结果显示，白藜芦醇仅在第一天增加了脑血流参数，且在 28 天后对认知功能没有显著影响，但降低了疲劳感并提高了舒张压。</t>
  </si>
  <si>
    <t>阴道菌群</t>
  </si>
  <si>
    <t>口服益生菌鼠李糖乳杆菌 GR - 1 和罗伊氏乳杆菌 RC - 14 辅助抗微生物药物甲硝唑治疗细菌性阴道病：一项随机、双盲、安慰剂对照试验</t>
  </si>
  <si>
    <t>一项随机双盲安慰剂对照试验研究了口服益生菌 Lactobacillus rhamnosus GR-1 和 Lactobacillus reuteri RC-14 辅助治疗细菌性阴道炎的效果。125 名绝经前妇女参与，她们在使用甲硝唑（500 mg，每日两次，持续 7 天）的同时，随机接受益生菌或安慰剂（每日两次，持续 30 天）。结果显示，抗生素联合益生菌治疗组的治愈率高达 88%，远高于仅用抗生素加安慰剂的 40%。</t>
  </si>
  <si>
    <t>鼠李糖乳杆菌 GR - 1 中的凝集素样蛋白 1 介导对阴道上皮的组织特异性黏附，并抑制泌尿生殖道病原体</t>
  </si>
  <si>
    <t>一项体外实验研究了乳酸菌 Lactobacillus rhamnosus GR-1 中的新型凝集素样蛋白 LGR1_Llp1，该蛋白在 100μg/ml 的浓度下处理 VK2/E6E7 细胞 1.5 小时后，能显著降低尿路致病性大肠杆菌（UPEC）的黏附能力，抑制其生物膜形成，且不影响正常乳酸菌生物膜的形成。</t>
  </si>
  <si>
    <t>线粒体</t>
  </si>
  <si>
    <t xml:space="preserve">一项针对中年人的随机试验显示，尿石素 A 可改善肌肉力量、运动表现以及线粒体健康相关生物标志物 </t>
  </si>
  <si>
    <t>一项随机对照试验研究了口服补充剂尿石素 A 对中年成年人肌肉力量、运动表现和线粒体健康的影响。研究对象为 40 至 64 岁的中年成年人，干预物为 500 毫克或 1000 毫克的尿石素 A，持续 120 天。结果显示，尿石素 A 能显著提高腿部肌肉力量，改善有氧耐力和运动表现，血浆炎症标志物降低，肌肉线粒体相关蛋白增加，且安全性良好。</t>
  </si>
  <si>
    <t>直接补充尿石素 A 可克服健康成年人饮食摄入限制和肠道微生物群差异问题，使人群体内尿石素 A 水平达到一致</t>
  </si>
  <si>
    <t>一项临床研究在 100 名健康成年人中开展，旨在评估摄入 500mg 尿石素 A（UA）与饮用一杯石榴汁对 UA 水平的影响。结果显示，直接补充 UA 能显著提高血浆 UA 水平，其效果远超石榴汁摄入，且 UA 补充组的 UA 暴露量是石榴汁组的 6 倍以上。</t>
  </si>
  <si>
    <t>钙β-羟基-β-甲基丁酸和维生素 D3 补充可增强老年人肌肉功能</t>
  </si>
  <si>
    <t>‍一项针对 60 岁以上维生素 D 不足老年人的双盲对照试验，纳入 117 名受试者，随机分为四组：（a）对照+不运动，（b）HMB+D+不运动，（c）对照+运动，（d）HMB+D+运动，进行为期 12 个月的干预。结果显示，在非运动组中，HMB+D 显著增加了 6 个月时的瘦体重（0.44±0.27 kg vs -0.33±0.28 kg，p&lt;0.05），并在 3 个月时显著提高膝关节伸展峰值扭矩（10.9±5.7 Nm vs -5.2±5.9 Nm，p=0.04）。此外，HMB+D+不运动组在 3、6、12 个月时的综合功能指数显著高于对照+不运动组（p=0.03、0.04、0.04）。然而，在运动组中，HMB+D 未进一步改善功能指数。该研究表明，HMB 和维生素 D3 补充剂可增强不运动老年人的肌肉力量和功能。</t>
  </si>
  <si>
    <t>发育</t>
  </si>
  <si>
    <t>高剂量维生素 D3 显著改善严重急性营养不良儿童体重和发育指标</t>
  </si>
  <si>
    <t>‍一项针对巴基斯坦 6-58 月龄无并发症严重急性营养不良儿童的随机安慰剂对照试验，纳入 194 名受试者，其中 185 名完成随访。受试者在开始标准治疗（即食用即食治疗食品）后第 2 周和第 4 周，分别接受 200000IU 高剂量维生素 D3 或安慰剂口服。结果显示，高剂量维生素 D3 未显著提高受试者 8 周内体重增长超过基线 15%的比例，但显著提升了体重身高/身长 Z 评分均值，并降低了整体发育迟缓、大运动发育迟缓、精细运动发育迟缓及语言发育迟缓的比例，表明其可改善该类儿童的生长发育指标。</t>
  </si>
  <si>
    <t>恢复</t>
  </si>
  <si>
    <t>肌酸补充剂可增强健康个体在离心收缩引起的肌肉损伤后的肌肉力量恢复。</t>
  </si>
  <si>
    <t>本研究涉及14名健康男性参与者，探讨了肌酸单水合物（Cr）对离心运动引起的肌肉损伤后恢复的影响。结果显示，Cr补充组在恢复过程中膝关节伸展的等速（提高10%）和等长（提高21%）力量显著优于对照组，同时，Cr组在48小时、72小时、96小时及7天后的血浆肌酸激酶（CK）活性显著降低（平均降低84%）。研究结论为Cr补充显著改善了肌肉功能恢复速度。</t>
  </si>
  <si>
    <t>耐力</t>
  </si>
  <si>
    <t>肌酸补充剂对运动活跃的年轻人进行抗阻训练的影响</t>
  </si>
  <si>
    <t>在一项为期六周的研究中，22名身体活跃的年轻成年人被随机分为肌酸组（n ＝ 13）和安慰剂组（n ＝ 9），研究肌酸补充对骨骼肌质量和运动表现的影响。结果显示，肌酸组在腿举、卧推和全身力量及腿举耐力方面显著提高（p ＜ 0.05），而安慰剂组未见显著变化。两个组的全身耐力均有所提升，但肌酸组的增益更显著。研究表明，在抗阻训练期间摄入肌酸可有效改善年轻成年人的肌肉力量和耐力指标。</t>
  </si>
  <si>
    <t>认知、情绪</t>
  </si>
  <si>
    <t>肌酸补充剂和睡眠剥夺联合轻度运动对认知和精神运动能力、情绪状态以及血浆儿茶酚胺和皮质醇浓度的影响</t>
  </si>
  <si>
    <t>这项研究探讨了肌酸补充与轻度运动、睡眠剥夺对认知与心理运动表现、情绪状态及血浆儿茶酚胺和皮质醇浓度的影响。受试者分为肌酸组（n＝10）和安慰剂组（n＝9），在实验前7天每日四次服用5克肌酸或安慰剂。经过24小时睡眠剥夺后，肌酸组在随机运动生成、选择反应时间、平衡和情绪状态的表现变化显著少于安慰剂组。血浆儿茶酚胺和皮质醇浓度组间无显著差异，但去甲肾上腺素和多巴胺浓度在24小时显著高于0小时，皮质醇则较低。结果表明，肌酸补充对情绪状态及重压任务有正面影响。</t>
  </si>
  <si>
    <t>情绪</t>
  </si>
  <si>
    <t>一项随机、双盲、安慰剂对照试验，旨在研究口服一水肌酸能否增强重度抑郁症女性患者对选择性血清素再摄取抑制剂的疗效。</t>
  </si>
  <si>
    <t>本研究是一项为期8周的随机、双盲、安慰剂对照临床试验，涉及52名女性重度抑郁症患者，评估了口服肌酸单水合物对选择性5–羟色胺再摄取抑制剂（SSRI）疗效的增强。结果显示，与安慰剂组相比，肌酸组在治疗第2周即表现出哈密尔顿抑郁评分（HAM–D）显著改善，且在第4周和第8周持续维持这种改善。两组在早期停止治疗的患者比例和不良事件发生频率无显著差异。本研究表明，肌酸对SSRI治疗的增强作用可能为女性重度抑郁症患者提供一种快速且有效的治疗方案。</t>
  </si>
  <si>
    <t>二十碳五烯酸乙酯降低高甘油三酯血症患者的心血管风险</t>
  </si>
  <si>
    <t>EPA可显著降低高甘油三酯血症患者的心血管风险。</t>
  </si>
  <si>
    <t>近期临床试验为欧米伽-3脂肪酸对心血管的益处提供了新的见解</t>
  </si>
  <si>
    <t>一项随机对照试验研究了慢性冠状动脉疾病患者中依折麦布乙酯（1800mg/日）治疗5年的效果，结果显示依折麦布乙酯治疗组的心血管事件发生率虽未达统计学意义，但冠状动脉事件的复合次要终点显著降低。</t>
  </si>
  <si>
    <t>二级预防中他汀类药物与二十碳五烯酸联合治疗疗效评估随机试验（RESPECT-EPA）</t>
  </si>
  <si>
    <t>一项随机试验研究了对于慢性冠状动脉疾病患者、低EPA/AA比值以及正在服用他汀类药物的患者，IPE（1800毫克/天）治疗5年的效果。结果显示，IPE治疗组心血管事件的复合主要终点发生率较低但未达统计学意义，而次要终点冠状动脉事件发生率显著降低。</t>
  </si>
  <si>
    <t>拟微球藻提取物对过氧化氢损伤的人真皮成纤维细胞的皮肤保护作用</t>
  </si>
  <si>
    <t>研究用过氧化氢诱导人真皮成纤维细胞氧化应激，发现微藻提取物 NannoG 能提升细胞活力、调节抗氧化等相关基因表达，抑制弹性蛋白酶/酪氨酸酶，还在 3D 皮肤模型中证实无刺激性，具护肤潜力。</t>
  </si>
  <si>
    <t>来自拟微球藻的富含 Omega-3 二十碳五烯酸 （EPA） 提取物可降低健康个体的胆固醇</t>
  </si>
  <si>
    <t>一项随机双盲安慰剂对照研究，选取 120 名健康个体，给予每天 1 克 Almega®PL 或安慰剂，持续 12 周，结果显示 Almega®PL 能显著提升 Omega-3 指数和 EPA 浓度，降低极低密度脂蛋白胆固醇（VLDL），进而降低总胆固醇，且未增加低密度脂蛋白胆固醇（LDL）。</t>
  </si>
  <si>
    <t>成人益生菌</t>
  </si>
  <si>
    <t>特定益生菌可缓解桦树花粉季节的过敏性鼻炎</t>
  </si>
  <si>
    <t>一项随机双盲安慰剂对照试验，对 47 名确诊桦树花粉过敏儿童进行为期 4 个月、每日 5×10⁹ CFU 的嗜酸乳杆菌 NCFM 联合乳双歧杆菌 Bl-04 干预，显著减少鼻黏膜嗜酸性粒细胞浸润并缓解鼻部症状。</t>
  </si>
  <si>
    <t>胶原蛋白肽 EGCG 饮</t>
  </si>
  <si>
    <t>抗皱</t>
  </si>
  <si>
    <t>口服补充特定胶原蛋白肽对人体皮肤生理有益：一项双盲、安慰剂对照研究</t>
  </si>
  <si>
    <t>一项双盲、安慰剂对照试验中，69 名年龄在 35-55 岁之间的女性被随机分配接受 2.5 克或 5.0 克 CH 或安慰剂，每天一次，持续 8 周，与安慰剂相比，两个 CH 剂量组的皮肤弹性均显示出统计学上的显著改善。</t>
  </si>
  <si>
    <t>肠道菌群</t>
  </si>
  <si>
    <t>过敏婴儿肠道菌群组成异常：断奶期双歧杆菌治疗的目标？</t>
  </si>
  <si>
    <t>一项随机对照试验，纳入 21 名早发性特应性湿疹婴儿，将其中 13 名耐受 EHF 的婴儿随机分配至补充 Bb-12（1×10⁷ CFU/g）的 EHF 组或不含益生菌的 EHF 安慰剂组，持续约 4 个月，结果显示 Bb-12 组在断奶期间大肠杆菌数量下降、拟杆菌数量未增加，而安慰剂组两者均上升，提示 Bb-12 可能通过调节菌群缓解过敏。</t>
  </si>
  <si>
    <t>肠道菌群、免疫力</t>
  </si>
  <si>
    <t>延迟的肠道菌群发育在哮喘高危婴儿中可通过 LGG 补充暂时调节</t>
  </si>
  <si>
    <t>一项随机对照试验，纳入 54 名哮喘高危婴儿，每日补充 1×10¹⁰ CFU LGG 或安慰剂，持续 6 个月，结果显示 LGG 组 6 月龄时肠道菌群组成更接近健康对照组，粪便中抗炎脂肪酸富集，可诱导调节性 T 细胞扩增，但停用后 6 个月效果消失。</t>
  </si>
  <si>
    <t>含鼠李糖乳杆菌 GG 的深度水解酪蛋白配方减少牛乳蛋白过敏儿童其他过敏表现的发生：一项 3 年随机对照试验</t>
  </si>
  <si>
    <t>一项随机对照试验，纳入 220 名 IgE 介导的牛乳蛋白过敏儿童，随机接受 EHCF 或 EHCF+LGG 治疗 36 个月。结果显示 EHCF+LGG 组 36 个月内其他过敏表现发生率绝对降低 23%，耐受获得率在 12、24、36 个月分别高出 20%、24%、27%，需治疗人数为 4。</t>
  </si>
  <si>
    <t>儿童急性呼吸道感染营养与膳食干预治疗的系统综述与Meta分析：EAACI工作组报告</t>
  </si>
  <si>
    <t>一篇依据PRISMA进行的系统综述与Meta分析，纳入50项儿童急性呼吸道感染临床试验，评估锌、维生素A、维生素D、维生素E/C、益生菌和多微量营养素等干预；作者认为整体证据并不足以推荐任何单一营养补充剂作为常规治疗方案，不过Meta分析提示锌在儿童肺炎中可能略微缩短住院时间，因此属于“总体阴性、锌有弱阳性信号”的证据。</t>
  </si>
  <si>
    <t>如何加速低中收入国家腹泻治疗中锌的使用？</t>
  </si>
  <si>
    <t>一篇针对低中收入国家儿童腹泻锌治疗推广现状的评论文章，作者基于多国家庭调查与项目评估指出，锌联合ORS虽为标准治疗，但现实中的覆盖率提升缓慢、地区差异明显，受限于供应、私营部门参与不足、口感耐受性、依从性和社会经济不平等等因素，因此未来应通过联合打包、缩短疗程探索和系统性健康教育来提升使用率。</t>
  </si>
  <si>
    <t>发达国家儿科患者中锌的作用：一项全方位综述</t>
  </si>
  <si>
    <t>一篇针对发达国家儿科人群的综述文章，系统梳理了锌在炎症调控、氧化应激、免疫成熟、生长发育及多系统疾病中的作用；作者认为锌可作为部分呼吸道、胃肠道、肾脏及慢性疾病的辅助补充，但临床效果受基础营养状态、疾病类型和研究设计影响，仍需更多高质量研究验证。</t>
  </si>
  <si>
    <t>一水肌酸对肌肉损伤标志物的悖论效应：系统综述与荟萃分析</t>
  </si>
  <si>
    <t>一项系统评价与 Meta 分析纳入 23 项 RCT 共 469 名受试者，结果显示一水肌酸对运动诱导肌损伤呈现悖论效应，无统一、稳定的保护作用。</t>
  </si>
  <si>
    <t>肌酸和咖啡因联合摄入对运动表现的影响：一项系统综述</t>
  </si>
  <si>
    <t>一项系统评价纳入 10 项研究，探讨肌酸联合咖啡因对运动表现的影响，结果显示二者联用并无稳定一致的协同增益，仅在肌酸加载后急性摄入咖啡因时可能带来有限的额外效果。</t>
  </si>
  <si>
    <t>肌酸补充剂对认知表现的影响——一项随机对照研究</t>
  </si>
  <si>
    <t>一项双盲、随机、安慰剂对照、交叉试验纳入123名健康成年人（素食者与杂食者各半），每日补充5 g肌酸持续6周，结果显示肌酸对逆向数字广度和瑞文高级推理测验均无显著改善，仅贝叶斯分析提示可能存在微小获益。</t>
  </si>
  <si>
    <t>益生菌对儿童感冒和流感样症状发生率及持续时间的影响</t>
  </si>
  <si>
    <t>一项随机双盲安慰剂对照试验，通过对 326 名 3 至 5 岁健康儿童进行为期 6 个月、每日剂量为 1.0×10¹⁰ CFU 的嗜酸乳杆菌 NCFM 单菌或联合乳双歧杆菌 Bi-07 干预，显著降低了发热、咳嗽、流涕发生率及持续时间，并减少抗生素使用和缺课天数。</t>
  </si>
  <si>
    <t>益生菌补充剂对健康活跃人群呼吸道和胃肠道疾病症状的影响</t>
  </si>
  <si>
    <t>一项随机双盲安慰剂对照试验，通过对 465 名健康活跃成人进行为期 150 天、剂量为 2.0×10⁹ CFU/d 的 Bl-04 或 5×10⁹ CFU/d 的 NCFM&amp;Bi-07（每种菌株） 干预，显示 Bl-04 显著降低上呼吸道感染风险 27%。</t>
  </si>
  <si>
    <t>通过膳食补充益生菌乳双歧杆菌 HN019 增强老年人免疫力</t>
  </si>
  <si>
    <t>一项随机对照试验，通过对 30 名 63-84 岁健康老年人进行为期 3 周、剂量为 5×10⁹ 或 5×10¹⁰ 菌落数/天的乳双歧杆菌 HN019 干预，显著提升了外周血 T 淋巴细胞、NK 细胞比例及吞噬细胞活性与肿瘤细胞杀伤能力。</t>
  </si>
  <si>
    <t>部分水解瓜尔胶对人体微生物群组成和功能的益生元效应——PAGODA试验结果</t>
  </si>
  <si>
    <t>一项临床试验研究了部分水解瓜尔胶（PHGG）对20名健康志愿者的干预影响，结果显示其可显著改善粪便频率和一致性，影响肠道微生物群的α和β多样性，并增加丁酸盐、醋酸盐等代谢物的丰度；PHGG的摄入还导致特定细菌增加及另一些细菌数量减少，且大多数影响在停止补充后消失，效应在男性参与者中更为明显。</t>
  </si>
  <si>
    <t>改善排便</t>
  </si>
  <si>
    <t>重复摄入部分水解瓜尔胶对粪便性状和肠道菌群的影响：一项随机、双盲、安慰剂对照、平行组临床试验</t>
  </si>
  <si>
    <t>一项随机、双盲、安慰剂对照和平行试验研究了部分水解瓜尔胶（PHGG）对44名有腹泻倾向（IBS-D样症状）健康志愿者的排便（粪便形态和频率）、血浆胆汁酸、生活质量及肠道微生物群的影响，结果显示摄入PHGG 3个月可显著改善并正常化使用BSS评估的粪便形态，但对排便频率没有影响；还引起了某些细菌比例的显著变化，如增加双歧杆菌，提示摄入PHGG可通过调节肠道微生物群改善人类粪便形态。</t>
  </si>
  <si>
    <t>体重</t>
  </si>
  <si>
    <t>部分水解瓜尔胶抑制肌少症性肥胖的发展</t>
  </si>
  <si>
    <t>一项动物实验部分水解的瓜尔胶（PHGG）在Db/Db小鼠中显示出预防肌肉减少性肥胖的潜力。PHGG（5%）的饮食补充提高了小鼠的握力和骨骼肌重量，增加了粪便和血清中短链脂肪酸的浓度，并改善了小肠内的免疫细胞比例，降低了炎性细胞比率，促进了抗炎细胞的增加。</t>
  </si>
  <si>
    <t>部分水解瓜尔胶治疗儿童功能性腹痛</t>
  </si>
  <si>
    <t>一项随机双盲的初步研究中，对60名8–16岁儿童进行研究，评估部分水解瓜尔胶对慢性腹痛和肠易激综合征的疗效。患者分为PHGG组（30人，5 g/d）和安慰剂组（30人，果汁），为期4周。结果显示，PHGG组在降低临床症状方面效果显著（43% vs 5%，P ＝ 0.025），腹痛强度和排便习惯的改善也明显优于对照组。研究表明，PHGG可能对儿童功能性胃肠疾病的症状控制有益，并且耐受性良好，无不良反应。</t>
  </si>
  <si>
    <t>血糖血脂</t>
  </si>
  <si>
    <t>部分水解瓜尔胶与低脂饮食相结合，可通过调节肠道菌群和粪便代谢物来改善2型糖尿病。</t>
  </si>
  <si>
    <t>一项动物实验，部分水解瓜尔胶（PHGG）与低脂饮食（LFD）结合，经过12周的研究，显著降低2型糖尿病小鼠的空腹血糖（FBG）和胰岛素抵抗（HOMA–IR），同时提高了葡萄糖耐受性。PHGG促进了短链脂肪酸（SCFA）产生细菌的丰度，改善了肠道微生物组，且与FBG、HOMA–IR和葡萄糖耐受性曲线下面积（AUC）呈负相关。因此，PHGG与LFD结合可能是改善糖代谢紊乱的潜在策略。</t>
  </si>
  <si>
    <t>口服特定的生物活性胶原蛋白肽可减少皮肤皱纹并增加真皮基质合成</t>
  </si>
  <si>
    <t>一项双盲、安慰剂对照的临床研究中，114名年龄在45至65岁的女性被随机分为两组，分别每日摄入2.5克特定生物活性胶原肽（VERISOL®）或安慰剂，持续8周。结果显示，与安慰剂组相比，BCP组在4周和8周后眼部皱纹体积显著减少（p ＜ 0.05，减少20%），且在最后一次摄入后4周仍观察到积极的持久效果（p ＜ 0.05）。此外，BCP组在8周后显示出显著更高的I型前胶原（增加65%）和弹性蛋白（增加18%），而纤维蛋白的增加（6%）未达到统计学显著性。研究结果表明，口服特定生物活性胶原肽能够有效减少皮肤皱纹并促进真皮基质合成。</t>
  </si>
  <si>
    <t>创面愈合</t>
  </si>
  <si>
    <t>尼罗罗非鱼（Oreochromis niloticus）皮肤中的海洋胶原蛋白肽：特性分析及伤口愈合评价</t>
  </si>
  <si>
    <t>一项动物实验，来自尼罗罗非鱼皮肤的海洋胶原蛋白肽（MCPs）由不同分子量的多肽组成，其中分子量小于5 kDa的多肽占99.14%。通过体外划痕实验，50.0 μg/mL浓度的MCPs显著促进了划痕闭合；在兔子深度部分烧伤伤口实验中，MCPs也能加速伤口愈合，因此其在伤口护理中具有良好应用前景。</t>
  </si>
  <si>
    <t>保湿</t>
  </si>
  <si>
    <t>具有吸湿和保湿性能，并能缓解海洋鱼皮胶原蛋白多肽的光损伤</t>
  </si>
  <si>
    <t>一项研究表明鱼皮来源的胶原多肽具有良好的吸湿和保湿特性，可有效减轻紫外线引起的小鼠皮肤损伤，其作用机制包括增强免疫力、减少水分和脂质流失、促进抗氧化、抑制糖胺聚糖的增加、修复内源性胶原和弹性蛋白纤维，维持III型与I型胶原的比例。</t>
  </si>
  <si>
    <t>保湿抗皱</t>
  </si>
  <si>
    <t>口服胶原蛋白肽可通过调节透明质酸合成来减轻紫外线B照射引起的体内皮肤脱水</t>
  </si>
  <si>
    <t>一项动物实验，口服胶原肽（CP）在无毛小鼠中显示出减轻紫外线B（UVB）照射引起的皮肤脱水的效果，样本量为SKH–1无毛小鼠，剂量为500和1000 mg/kg，持续九周。结果表明，CP的口服给药提高了皮肤水分，减缓了皱纹形成，同时增加了透明质酸合成酶（HAS–1和–2）的表达，促进了透明质酸的生产，并下调了透明质酸酶（HYAL–1和–2）的表达。综上所述，CP可作为营养护肤成分，具有减轻UVB引起的皮肤脱水和皱纹形成的潜力。</t>
  </si>
  <si>
    <t>胶原蛋白三肽及气候变化因素对中年女性皮肤水分的影响：一项随机、双盲、安慰剂对照试验</t>
  </si>
  <si>
    <t>一项为期12周的随机、双盲、安慰剂对照试验中，84名年龄在40至60岁的中年女性中，口服1000毫克的尼罗罗非鱼皮胶原三肽（CTP）显著减少了经皮水分流失（TEWL），尤其在年龄低于50岁的受试者中表现更为明显（P ＜ 0.05）。所有参与者均未出现明显的不良反应。研究结果表明，CTP的口服摄入有助于改善中年女性的皮肤水分保持。</t>
  </si>
  <si>
    <t>口服胶原蛋白对皮肤抗衰老的影响：系统评价和荟萃分析</t>
  </si>
  <si>
    <t>一项系统评价与荟萃分析纳入26项随机对照试验（RCT），涉及1721名患者，评估水解胶原蛋白（HC）补充对皮肤水分和弹性的影响。结果显示，HC补充显著改善皮肤水分（Z ＝ 4.94, p ＜ 0.00001）和弹性（Z ＝ 4.49, p ＜ 0.00001）相较于安慰剂组。亚组分析表明，HC对皮肤水分的影响受胶原来源及补充持续时间影响，但不同来源胶原对皮肤弹性的影响无显著差异（p ＝ 0.21）。研究发现纳入RCT存在一定偏倚。总体而言，HC补充对皮肤健康有积极影响，但需进一步大规模RCT以确认这些发现。</t>
  </si>
  <si>
    <t>水解胶原蛋白补充剂对皮肤老化的影响：系统评价和荟萃分析</t>
  </si>
  <si>
    <t>一项系统评价和荟萃分析评估了水解胶原蛋白补充对皮肤老化的影响，共纳入19项随机双盲对照试验，涉及1125名20至70岁参与者（95%为女性）。结果显示，与安慰剂相比，水解胶原蛋白补充在改善皮肤水分、弹性和皱纹方面具有显著效果，90天的补充有效减缓皮肤老化。</t>
  </si>
  <si>
    <t>伤口愈合，抗老</t>
  </si>
  <si>
    <t>口服胶原蛋白补充剂：皮肤科应用系统评价</t>
  </si>
  <si>
    <t>一项系统评价纳入11项随机对照试验，涉及805名患者，评估口服胶原补充剂对皮肤质量和抗衰老的效果。研究发现，使用胶原水解物（2.5g/d至10g/d，8至24周）和三肽胶原（3g/d，4至12周）均显著改善皮肤弹性和水分，且整体安全性良好。初步结果显示，口服胶原补充剂在伤口愈合和皮肤衰老方面具有前景，需进一步研究其在皮肤屏障疾病中的应用及最佳剂量。</t>
  </si>
  <si>
    <t>分类</t>
  </si>
  <si>
    <t>问题</t>
  </si>
  <si>
    <t>备注</t>
  </si>
  <si>
    <t>补剂与药物</t>
  </si>
  <si>
    <t>补剂是否可以与药物共同服用</t>
  </si>
  <si>
    <t>补剂跟药物不建议同天使用</t>
  </si>
  <si>
    <t>链接</t>
  </si>
  <si>
    <t>话术涉及到链接</t>
  </si>
  <si>
    <t>发送小程序卡片，如果未明确产品发送小程序主页
path为：pages/common/blank-page/index?weappSharePath=pages%2Fhome%2Fdashboard%2Findex%3FkdtId%3D132610137%26guestKdtId%3D132610137%26kdt_id%3D132610137%26dc_ps%3D4068430866165267463.200001
appid为：wxa50efac0c133635a
如果跳转到其他页面从对应产品取到的path和上面path进行拼装。</t>
  </si>
  <si>
    <t>改地址</t>
  </si>
  <si>
    <t>用户要求改地址</t>
  </si>
  <si>
    <t>核对订单是否已发货，已发货订单不支持修改地址，话术：您好，由于订单涉及跨境运输，快递公司修改地址的操作有很大概率失败，为避免造成运输异常和丢件等情况，我们暂不支持发货后改地址哦，未发货订单可以修改地址，提交工单。</t>
  </si>
  <si>
    <t>禁用的极限词</t>
  </si>
  <si>
    <t>一级禁用词</t>
  </si>
  <si>
    <t>最高、最佳、最优、最棒、最强、最新、最全、最火、最畅销、顶尖、顶配、极品、极致、绝佳、绝对、终极、巅峰、完美、臻品、独家、独创、首创、首款、首选、唯独、仅有、绝无仅有、独一无二、全网第一、全国第一、全球第一、销量第一、排名第一、冠军、王牌、至尊、顶级、顶尖、史无前例、空前绝后、无敌、顶尖级、国家级、世界级、国际级、特效、奇效、神效、、速效、全效、特效、100% 有效、百分百有效、绝对有效、绝对安全、无效退款、保证有效、肯定有效、必效、必定、必然、彻底、零风险、无毒无害、纯天然、最安全、最健康、必买、包治百病、绝版、最新科技、最高科技</t>
  </si>
  <si>
    <t>禁用的疗效用词</t>
  </si>
  <si>
    <t>专治、速效、倒头就睡、过目不忘、永不反弹，永不复发、去除一切、扫除一切、横扫一切、从根源上解决、断根、永不、永久、摆脱、赶走、滚走、秒去、击退、克星、救星、去除根源、有效率、治愈率、长生不老、长寿基因、延年益寿、返老还童、回到18岁、青春永现、重返年轻、绝经再育</t>
  </si>
  <si>
    <t>疾病词</t>
  </si>
  <si>
    <t>二级禁用词</t>
  </si>
  <si>
    <t>近视、眼疾、远视、斜视、散光、飞蚊、黄斑、飞影、弱视、叠影、青光、眼病、高血压、三高、糖尿病、高血脂、高血糖、痛经、月经不调、子宫肌瘤、多囊、月经前综合症、宫颈炎、乳腺增生、乳腺结节、乳腺囊、小叶结节、月经紊乱、阴道炎、妇科病、宫颈糜烂、盆腔炎、卵巢早衰、更年期综合征、梅毒、艾滋病、尖锐湿疣等。</t>
  </si>
  <si>
    <t>单独使用可能违规，但在结合前后文和特定场景的情况下可以使用的词语。
不违规的示例：
例如用户问到自己有糖尿病，XX产品能否治疗糖尿病
客服通常会回答：您好，我们的产品是补剂不是药品，没有治疗作用的哈，对于糖尿病的情况，有一些产品可以用于辅助改善，我给您介绍一下：XXXXXXXXX
此时可能会提及疾病词，但并不违规。</t>
  </si>
  <si>
    <t>疾病治疗功效表达</t>
  </si>
  <si>
    <t>预防病变、降血压、降血糖、降血脂、降脂、降压、清血脂、控制血糖、平稳血糖、预防三高、降低血脂、降低临界性高血压、预防流感、止咳、化痰、降低血液粘稠度、降低胆固醇、血管清道夫、血液清道夫、血栓清除专家、软化血管、疏通 血管、溶油疏通、净透血管、净化血液、修复神经，修复关节等</t>
  </si>
  <si>
    <t>需求点</t>
  </si>
  <si>
    <t>挖需铺垫</t>
  </si>
  <si>
    <t>挖需问题</t>
  </si>
  <si>
    <t>挖需结果</t>
  </si>
  <si>
    <t>推荐产品</t>
  </si>
  <si>
    <t>相同挖需结果下的优先级</t>
  </si>
  <si>
    <t>是否为兜底推荐产品</t>
  </si>
  <si>
    <t>推荐产品介绍</t>
  </si>
  <si>
    <t>推荐后免责话术</t>
  </si>
  <si>
    <t>备注（不发出）</t>
  </si>
  <si>
    <t>第一段话术</t>
  </si>
  <si>
    <t>1 抗衰/身体机能下降</t>
  </si>
  <si>
    <t>抗衰确实是现在大家非常关注的领域，而且侧重点各有不同呢</t>
  </si>
  <si>
    <t>请问您更关注身体哪方面的抗衰呢，例如代谢、皮肤、女性抗衰或整体抗衰呢</t>
  </si>
  <si>
    <t>整体抗衰或其他</t>
  </si>
  <si>
    <t>高</t>
  </si>
  <si>
    <t>是</t>
  </si>
  <si>
    <t>NMN：提高 NAD+ 水平，从根源抗衰，有助于增强细胞活性、提升精力和睡眠质量、保护茂密头发。行业头部邦泰专利原料 99.9% 高纯度，全酶发酵法安全好吸收（市面同品质¥3200-8000/月，营养工厂 ¥74.8/月，每日仅需 2.49 元）
论文： https://pmc.ncbi.nlm.nih.gov/articles/PMC7238909/</t>
  </si>
  <si>
    <t>它是人体内一种关键辅酶NAD+的直接前体。随着年龄增长，人体NAD+水平会显著下降，导致细胞能量供应不足、DNA修复能力减弱，从而加速衰老。NMN通过提升NAD+水平，从多个层面帮助延缓衰老进程
NMN 是 NAD+ 的前体，已被证明可以通过增强 Sirtuins 和 PARPS 的功能来提供抗衰老功效, 从 DNA 修复到炎症控制。</t>
  </si>
  <si>
    <t>您好~可以简单介绍下您的基本信息（年龄、性别、身高、体重等），方便了解您的身体状况哦～
请问您想改善哪方面呢，请选择您最关心的3-5个需求，可以直接回复【数字】：
  1.抗衰/身体机能下降
  2.睡眠质量差
  3.身体代谢差/免疫力
  4.白发、脱发、头皮活力
  5.减脂减重/改善体型
  6.皮肤松弛暗沉/长痘痘
  7.晨起疲惫，精神不振
  8.每天用脑超八小时，注意力难集中
  9.抑郁焦虑，情绪差
  10.肝脏排毒功能差，熬夜伤肝
  11.办公室久坐不动人群
  12.用眼过度，眼疲劳
  13.女性保养
  14.肠胃不好，便秘或菌群失调
  15.男性性功能问题
  16.备孕支持
  17. 运动健身人群
  18.需促进骨骼健康，强健骨质
  19.经常抽烟，烟瘾重
  20.儿童成长，助力身体发育</t>
  </si>
  <si>
    <t>TMG：它是身体里的 “代谢小助手”，让蛋白质发挥作用，理顺身体的代谢过程，支持心血管和肝脏健康。还能帮助 NMN 发挥最大效果，组成抗衰黄金组合（市面同品质¥75-125/月，营养工厂¥34.1/月，每日仅需 1.14 元）
论文：https://pmc.ncbi.nlm.nih.gov/articles/PMC8224793/</t>
  </si>
  <si>
    <t>TMG 可以给 NMN 提供甲基化支持，将 NMN 转化为 NAD+ 关键过程中需要甲基化。 NAD+ 是一种参与多种细胞过程的辅酶，包括能量代谢和基因表达。
通过提供甲基，TMG 可以支持这一转化过程，确保为细胞功能提供充足的 NAD+，从而增强 NMN 补充剂的整体有效性</t>
  </si>
  <si>
    <t>代谢抗衰</t>
  </si>
  <si>
    <t>亚精胺：它是启动细胞自我清洁的关键分子，可加速新陈代谢，辅助减轻体重，有益于抗炎、抗衰，帮助改善记忆力，还是促生发、防脱发的小能手。采用市面同品质SuperMide™ 专有技术原料，高纯品质。（市面同品质¥200-300/月，营养工厂¥68.2/月，每日仅需 2.27 元）
论文：https://pmc.ncbi.nlm.nih.gov/articles/PMC5806691/</t>
  </si>
  <si>
    <t>其主要机制是自噬，亚精胺抑制了某些称为乙酰转移酶的酶。这些酶与 DNA 健康有关。因此，自噬中的基因表达增加，从而减少了细胞死亡并延长了寿命。
亚精胺可以通过自噬从而激活脂肪组织产热，被用来治疗肥胖及其代谢并发症。</t>
  </si>
  <si>
    <t>体能，运动抗衰</t>
  </si>
  <si>
    <t>AKG：抗衰好帮手，有利于改善疲劳，助力骨骼肌肉养护，辅助提升免疫。绿色生物发酵，包膜颗粒技术，缓释温和好吸收。（市面同品质¥200-800/月，营养工厂 ¥37.05/月，每日仅需 1.24元）
论文：https://www.sciencedirect.com/science/article/abs/pii/S1043276021002666</t>
  </si>
  <si>
    <t>AKG 激活细胞自噬功能，促进老化细胞的清除和功能修复，从而延长健康寿命而非单纯的生命长度</t>
  </si>
  <si>
    <t>女性抗衰</t>
  </si>
  <si>
    <t>大豆异黄酮：帮助调节雌激素平衡，有益于卵巢养护抗衰，缓解更年期女性不适，支持皮肤与整体状态改善。 5 合 1 配方，多效协同。（市面同品质¥300-400/月，营养工厂 ¥58.2/月，每日仅需 1.94 元）
论文：https://pmc.ncbi.nlm.nih.gov/articles/PMC8301030/</t>
  </si>
  <si>
    <t>大豆异黄酮可以预防的卵巢早衰，重新焕发生命力。</t>
  </si>
  <si>
    <t>皮肤抗衰</t>
  </si>
  <si>
    <t>麦角硫因+谷胱甘肽：Dr.ERGO®  专利 L-麦角硫因， 99.9% 高纯度，中科院研发天然发酵工艺，对抗氧化起到很好的辅助作用，支持皮肤健康。（市面同品质¥300-800/月，营养工厂¥78.2/月，每日仅需 2.61 元）
论文：https://pmc.ncbi.nlm.nih.gov/articles/PMC9967237/</t>
  </si>
  <si>
    <t>麦角硫因（ergothioneine）是组氨酸的硫脲衍生物，由少数细菌和真菌合成，仅由动植物从外源获得。作为人类饮食的丰富成分，麦角硫因在胃肠道组织中的含量很高。膳食麦角硫因在人体内水平的降低通常与神经退行性疾病、心血管疾病和自身免疫疾病的风险增加有关</t>
  </si>
  <si>
    <t>2 睡眠质量差</t>
  </si>
  <si>
    <t>睡眠问题确实很影响日常生活质量，很多人都会因为各种原因受到睡眠困扰</t>
  </si>
  <si>
    <t>请问您被哪些睡眠问题困扰呢，
如：平时觉得压力大导致不好睡觉，睡眠较浅还是睡眠时间较短呢</t>
  </si>
  <si>
    <t>压力大导致的睡眠问题</t>
  </si>
  <si>
    <t>苏糖酸镁：缓解焦虑压力、舒缓助眠，还能营养大脑、支持认知与记忆力，对多动症（ADHD）和阿尔兹海默症有辅助改善作用
Magtein® 专利原料，是极少可穿越血脑屏障的镁补充剂，营养直达脑部。高品质工厂价（市面同品质¥250 元/月，营养工厂 ¥94.8/月，每日仅需 3.16 元）
论文：https://pmc.ncbi.nlm.nih.gov/articles/PMC9786204/</t>
  </si>
  <si>
    <t>身体缺镁致睡眠差、神经肌肉紧张时，苏糖酸镁能放松神经肌肉，减少夜间觉醒，辅助改善睡眠质量。</t>
  </si>
  <si>
    <t>深度睡眠/睡不沉/睡眠浅</t>
  </si>
  <si>
    <t>焦虑睡眠，睡眠时间，睡眠效率</t>
  </si>
  <si>
    <t>南非醉茄：辅助改善记忆认知、调节情绪压力、提升睡眠质量。Sensoril® 专利南非醉茄提取物，调节压力与焦虑来源-皮质醇。（市面同品质¥150-200/月，营养工厂¥68.2/月，每日仅需 2.27 元）
论文：https://pmc.ncbi.nlm.nih.gov/articles/PMC12252077/</t>
  </si>
  <si>
    <t>压力大、焦虑引发睡眠差，或因压力致精力不济时可服南非醉茄；它能调节压力相关激素，缓解焦虑，从而帮助放松身心，辅助改善入睡及睡眠稳定性。</t>
  </si>
  <si>
    <t>需要倒夜班，时差</t>
  </si>
  <si>
    <t>褪黑素口溶片：帮助睡眠，促进入睡，调节生物钟，减少夜间醒来的次数。Thinsol™ 专利口溶膜剂型，无水、闪释、深睡快。（市面同品质¥170-200/月，营养工厂¥79/月，每日仅需 2.64 元）
论文：https://pmc.ncbi.nlm.nih.gov/articles/PMC3503905/</t>
  </si>
  <si>
    <t>昼夜节律紊乱（如倒时差、倒夜班）或入睡困难时可服褪黑素；它能调节人体生物钟，帮助调整睡眠节律，辅助缩短入睡时间、改善睡眠质量。</t>
  </si>
  <si>
    <t>3 身体代谢差/免疫力</t>
  </si>
  <si>
    <t>一般代谢差会伴随体重难降或免疫力下降</t>
  </si>
  <si>
    <t>请问您有没有减脂的需求呢，平时膳食摄入均衡么~我结合整体为您推荐</t>
  </si>
  <si>
    <t>其他</t>
  </si>
  <si>
    <t>亚精胺可激活细胞自噬、维持线粒体功能（能量代谢核心），还能调节胰岛素敏感性，辅助改善糖脂代谢，助力维持代谢平衡。</t>
  </si>
  <si>
    <t>大体重或有减肥需求</t>
  </si>
  <si>
    <t>AKK：调糖脂代谢，帮助保护肠道和改善免疫，助力科学体重管理。专利 AKK PROBIO® 原料（市面同品质¥700-3000/月，营养工厂 ¥149/月，每日仅需 4.97 元）
论文：https://www.nature.com/articles/s41591-019-0495-2</t>
  </si>
  <si>
    <t>AKK菌是肠道有益菌，可降解黏液层、调节肠道菌群平衡，还能改善胰岛素敏感性，辅助调节糖脂代谢，助力维持代谢稳定。</t>
  </si>
  <si>
    <t>运动需求</t>
  </si>
  <si>
    <t>AKG是三羧酸循环关键中间物，可辅助能量代谢，还能促进蛋白质合成、调节氨基酸代谢，助力维持代谢平衡</t>
  </si>
  <si>
    <t>4 白发、脱发、头皮活力</t>
  </si>
  <si>
    <t>头发问题确实很影响形象和心情。从营养的角度看，白发和脱发的核心成因和改善路径有所不同</t>
  </si>
  <si>
    <t>想先跟您确认一下，请问您目前更关注改善白发，还是脱发（比如常见的M型） 的问题呢？</t>
  </si>
  <si>
    <t>脱发或其他</t>
  </si>
  <si>
    <t>鱼油：IFOS 权威认证的 95% 高纯度鱼油，rTG 构型好吸收，含人体必需的 Omega-3 脂肪酸（秘鲁深海小鱼，远离污染），DHA 和 EPA 黄金配比，对心血管健康、血压、脑部功能以及抗炎、护肤都具有显著的好处（海鲜过敏者慎用）（市面同品质¥200-300/月，营养工厂 ¥69/月，每日仅需 2.3 元）
论文：https://pmc.ncbi.nlm.nih.gov/articles/PMC8767101/</t>
  </si>
  <si>
    <t>白发且同时有抗衰需求</t>
  </si>
  <si>
    <t>只有头发需求组合推荐</t>
  </si>
  <si>
    <t>白发涉及多种因素，包括遗传、年龄、营养状况、生活习惯等。头发变白的根本原因是毛囊中的黑色素干细胞（McSC）数量枯竭或已丧失分化潜能。一旦毛囊不再拥有能生产黑色素的“工厂”，单纯延长生长期或提高角蛋白合成，并不能恢复颜色。亚精胺能够激活自噬、改善线粒体功能，延长生长期，使发丝更粗壮。 曾有两项 90 天的小规模 RCT（La Torre 2019；Goren 2020）报告亚精胺使得“发干长度/直径”改善，无色素改变。把亚精胺定位成“延缓进一步白化、改善发质”是合理的。虽然目前没有特效的营养补剂能够直接使白发转黑，但适量补充某些营养素可能对改善头发健康、减缓白发进程有一定帮助。</t>
  </si>
  <si>
    <t>男/女士复合维生素</t>
  </si>
  <si>
    <t>中</t>
  </si>
  <si>
    <t>男/女士复合维生素：关键营养补充， 增强免疫力，缓解身体疲劳，改善气色，由内而外焕发光泽，每日仅需不到 0.5 元
论文：https://pmc.ncbi.nlm.nih.gov/articles/PMC5852824/</t>
  </si>
  <si>
    <t>雄脱/M型脱发</t>
  </si>
  <si>
    <t>锯棕榈番茄红素：系统呵护男性健康，辅助改善前列腺增生与雄性激素脱发，守护前列腺，改善夜间排尿频率。经临床试验筛选的 4 合 1 科学配方。（市面同品质¥150-350/月，营养工厂¥29.5/月，每日仅需 0.98 元）
论文：https://europepmc.org/article/PMC/4002402</t>
  </si>
  <si>
    <t>复合配方中的锯棕榈提取物被认为可通过抑制5α-还原酶的活性，减少二氢睾酮（DHT）的合成。DHT是导致雄激素性脱发（男性型脱发）的关键激素，会缩小毛囊并缩短头发生长周期。
锯棕榈可能通过这一机制延缓脱发进程</t>
  </si>
  <si>
    <t>5 减脂减重/改善体型</t>
  </si>
  <si>
    <t>减脂减重是很多人的健康需求，科学的方式能让你事半功倍哦</t>
  </si>
  <si>
    <t>请问您是否伴随代谢能力下降，或影响皮肤伴随痤疮呢</t>
  </si>
  <si>
    <t>同时伴随痤疮</t>
  </si>
  <si>
    <t>小檗碱：辅助改善血糖、缓解胰岛素抵抗，对促进脂肪分解减少脂肪合成有利，辅助改善多囊与痤疮，帮助减少腰围。Berbevis® 小檗碱专利组合物，生物利用度约为普通小檗碱的 10 倍。（市面同品质¥75-170/月，营养工厂¥61.8/月，每日仅需 2.06元）
论文：https://pmc.ncbi.nlm.nih.gov/articles/PMC6111450/</t>
  </si>
  <si>
    <t>6 皮肤松弛暗沉/长痘痘</t>
  </si>
  <si>
    <t>了解，皮肤问题通常有不同成因，思路也会完全不一样。找准核心诉求，才能给出最有效的营养方案</t>
  </si>
  <si>
    <t>请问主要想改善皮肤哪方面呀，比如美白、抗氧化、改善皮肤松垮或皮肤长痘痘~</t>
  </si>
  <si>
    <t>肤色暗沉/均匀肤色</t>
  </si>
  <si>
    <t>谷胱甘肽和麦角硫因都是强效的抗氧化剂。两者共同作用，可以提供更全面的抗氧化保护，增强美白效果。麦角硫因可以帮助再生被氧化的谷胱甘肽，维持谷胱甘肽在体内的高水平。
这意味着谷胱甘肽的抗氧化功能可以持续更长时间，从而更有效地抑制黑色素的生成，达到更好的美白效果。</t>
  </si>
  <si>
    <t>皮肤抗糖/抗氧化</t>
  </si>
  <si>
    <t>虾青素 ：具有比较强的抗氧化特性，帮助改善皮肤细纹、弹性、水分、粗糙等肌肤问题。AstaZine® 专利，天然雨生红球藻破壁萃取。（市面同品质¥100-250/月，营养工厂 ¥39.5/月，每日仅需 1.32 元）
论文：https://pmc.ncbi.nlm.nih.gov/articles/PMC8472736/</t>
  </si>
  <si>
    <t>虾青素和其他类胡萝卜素相比，它对自由基显示出最高的抗氧化活性。一项对 30 名女性和一项对 36 名男性的研究均显示出，服用一定时间的虾青素后，受试者的皮肤状况明显得到改善，角质细胞层水份提升，皱纹得到淡化，斑纹也出现一定的淡化和消退。</t>
  </si>
  <si>
    <t>皮肤松垮</t>
  </si>
  <si>
    <t>胶原蛋白肽：行业头部「4 重肽」配方，复配鱼子酱精华，添加多种维矿全域提拉紧致，帮助皮肤保持水润有弹性。（市面同品质¥450-700 月，每日仅需 8.9 元）
论文：https://uda.cn/ingredient/collagen-peptides</t>
  </si>
  <si>
    <t>补充胶原蛋白可以改善皮肤弹性并减少皱纹的出现。其中一项研究，46 名年龄在 45 至 59 岁之间的健康女性，分别服用安慰剂组和水解鱼软骨补剂。90天后使用高分辨率成像、超声和反射共聚焦显微镜图像分析鼻唇区皮肤皱纹、真皮回声和厚度以及皮肤形态和结构特征，结果发现参与者皱纹明显减少，真皮回声增加。此外胶原蛋白形态得到改善，弹性组织变性减少。同时皮肤保湿力有所增强。</t>
  </si>
  <si>
    <t>皮肤炎症、过敏、痘痘</t>
  </si>
  <si>
    <t>鱼油中的 EPA 和 DHA（Omega-3 脂肪酸），能调节皮肤油脂分泌以减少毛孔堵塞，还可减轻痘痘炎症、修复皮肤屏障。</t>
  </si>
  <si>
    <t>皮肤抗炎同时肠胃不好</t>
  </si>
  <si>
    <t>姜黄素：对全身抗炎有益，辅助抑制慢性炎症，助力保护肝脏和调节肠道菌群，帮助情绪平衡及免疫支持。姜黄素王 BCM-95® 专利，55 项专利、90 项临床研究，高生物利用度，约为普通姜黄素的 7 倍，拥有 GRAS 安全认证。（市面同品质¥250-500/月，营养工厂 ¥78.2/月，每日仅需 2.61 元）
论文：https://pmc.ncbi.nlm.nih.gov/articles/PMC5664031/</t>
  </si>
  <si>
    <t>姜黄素能够减少自由基的积累，抑制与衰老相关的慢性炎症，从而保持细胞和组织的年轻状态。同时，通过抗炎、抗氧化、保护 DNA 和促进细胞修复，延缓衰老过程。姜黄中的一种天然化合物“姜黄素”可用于治疗消化不良症状。</t>
  </si>
  <si>
    <t>过敏性皮炎</t>
  </si>
  <si>
    <t>活性B族</t>
  </si>
  <si>
    <t>活性B族：8 大活性 B 族，科学复配肌醇与 PABA，提升耐力抗疲劳，有助于抗炎抗氧化，辅助改善认知障碍、维持心血管健康。（市面同品质¥150-300/月，营养工厂¥79/月，每日仅需 2.63 元）
论文：https://www.mdpi.com/2072-6643/8/2/68</t>
  </si>
  <si>
    <t>高同型半胱氨酸水平会诱导氧化应激和炎症反应，从而损害细胞功能。维生素 B 能通过降低同型半胱氨酸来减少自由基的产生，减少促炎因子的释放，缓解慢性炎症，进一步保护组织和器官免受损伤。</t>
  </si>
  <si>
    <t>痤疮</t>
  </si>
  <si>
    <t>erbevis®通过多靶点作用正向调节血糖和胰岛素水平，改善胰岛素抵抗，促进脂肪组织重新分布，优化体成分。这些作用有助于缓解因代谢紊乱和激素失衡（如高雄激素水平）引发的痤疮。</t>
  </si>
  <si>
    <t>7 晨起疲惫，精神不振</t>
  </si>
  <si>
    <t>很多人都有这种情况，睡够了却不解乏，多半是深层睡眠或精力补给出了问题，我了解下您的详细情况</t>
  </si>
  <si>
    <t>请问您被哪些问题困扰呢
如：日常精力不好，有没有感觉没有做什么但是很累的感觉，专注力差</t>
  </si>
  <si>
    <t>NMN 能提升精力，核心是快速补充 NAD+、维持线粒体功能、优化能量代谢、减少氧化损伤，从根源解决细胞能量不足与疲劳问题</t>
  </si>
  <si>
    <t xml:space="preserve"> TMG 可以给 NMN 提供甲基化支持，将 NMN 转化为 NAD+ 关键过程中需要甲基化。 NAD+ 是一种参与多种细胞过程的辅酶，包括能量代谢和基因表达。
通过提供甲基，TMG 可以支持这一转化过程，确保为细胞功能提供充足的 NAD+，从而增强 NMN 补充剂的整体有效性。从而提高精力。</t>
  </si>
  <si>
    <t>精神/专注力差</t>
  </si>
  <si>
    <t>PQQ+PS：
PQQ：有助于改善线粒体功能，给细胞充能、促进代谢
PS：支持大脑神经传递，养护脑部健康，还能帮着提升记忆力与专注力，顶级学术期刊多次报道，双重成分协同发力。（市面同品质¥350-700/月，营养工厂 ¥88.2/月，每日仅需 2.94 元）
论文：
PQQ：https://pmc.ncbi.nlm.nih.gov/articles/PMC8533503/
PS：https://pmc.ncbi.nlm.nih.gov/articles/PMC4258547/</t>
  </si>
  <si>
    <t>PQQ+PS促进线粒体生长，充脑营养，活跃脑细胞，从而提神改善专注力。</t>
  </si>
  <si>
    <t>容易感到疲惫</t>
  </si>
  <si>
    <t>辅酶 Q10：护心能手，帮助身体抗氧化、抗疲劳，提高运动活力。采用行业头部 Kaneka® 还原型辅酶 Q10 原料，生物利用度远高于普通氧化型 Q10，熬夜疲惫优选。（市面同品质¥300-600/月，营养工厂¥99/月，每日仅需 3.3 元）
论文：https://pmc.ncbi.nlm.nih.gov/articles/PMC7660335/</t>
  </si>
  <si>
    <t>辅助参与细胞能量代谢，为身体供能，可帮助改善因能量不足导致的晨起疲惫、精神不振。</t>
  </si>
  <si>
    <t>8 每天用脑超八小时，注意力难集中</t>
  </si>
  <si>
    <t>长时间高强度用脑很容易导致注意力下降，想多和您了解些情况</t>
  </si>
  <si>
    <t>请问您平时睡眠情况怎么样呀，压力大嘛</t>
  </si>
  <si>
    <t>有睡眠方面需求</t>
  </si>
  <si>
    <t>膳食镁补充剂可以增加睡眠时间、睡眠效率、血清肾素浓度和褪黑激素，缺乏镁可能导致情绪不稳、易怒和焦虑，因此，适当补充镁有助于维持心理健康，减少情绪波动。缓解焦虑更好入睡。</t>
  </si>
  <si>
    <t>主要提升记忆力</t>
  </si>
  <si>
    <t>PQQ 辅助脑细胞能量代谢、保护神经，PS 改善神经信号传递，二者搭配可辅助缓解脑疲劳、提升记忆力。</t>
  </si>
  <si>
    <t>9 抑郁焦虑，情绪差</t>
  </si>
  <si>
    <t>情绪健康是整体健康的重要组成部分，关注并调节情绪问题很有必要</t>
  </si>
  <si>
    <t>请问您平时睡眠情况怎么样呢，平时用脑多么</t>
  </si>
  <si>
    <t>改善焦虑情绪</t>
  </si>
  <si>
    <t>辅助调节压力反应，帮助缓解焦虑引发的紧张，通过平衡神经递质，辅助改善情绪低落。</t>
  </si>
  <si>
    <t>舒缓情绪，补充脑力</t>
  </si>
  <si>
    <t>镁对神经系统有镇静作用，有助于缓解焦虑和抑郁。镁通过调节神经递质，如血清素和多巴胺，帮助改善情绪。缺乏镁可能导致情绪不稳、易怒和焦虑，因此，适当补充镁有助于维持心理健康，减少情绪波动。</t>
  </si>
  <si>
    <t>10 肝脏排毒功能差，熬夜伤肝</t>
  </si>
  <si>
    <t>肝脏健康对身体代谢很重要，尤其是经常熬夜的人群更需要关注肝脏保养</t>
  </si>
  <si>
    <t xml:space="preserve"> 请问您平常会经常熬夜嘛，想要呵护肝脏或是减少熬夜带来的身体损伤呢</t>
  </si>
  <si>
    <t>护肝，提高肝脏排毒</t>
  </si>
  <si>
    <t>奶蓟草：保肝护肝的小帮手，有助于改善肝脏受损情况，减轻熬夜晚睡带来的肝脏负担。高含量水飞蓟宾，特别添加胆碱助力脂质代谢。（市面同品质¥120-200/月，营养工厂¥58.2/月，每日仅需 1.94 元）
论文：https://pmc.ncbi.nlm.nih.gov/articles/PMC3098397/</t>
  </si>
  <si>
    <t>肝脏的主要功能是解毒，水飞蓟素通过调节肝脏中解毒酶（特别是 I 期和 II 期解毒酶）的活性来增强这一过程。研究表明，水飞蓟素可提高超氧化物歧化酶和过氧化氢酶等酶的活性，这些酶在解毒过程中起着至关重要的作用。这种增强作用有助于肝脏更有效地代谢和排泄毒素，包括药物和环境污染物。</t>
  </si>
  <si>
    <t>经常熬夜，其他身体机能保护</t>
  </si>
  <si>
    <t>还原型辅酶 Q10：Q10 是线粒体必需物质，可以使肝细胞能量足，不容易受损。</t>
  </si>
  <si>
    <t>鱼油：通过临床试验数据，与对照组相比，食用富含 DHA 后，睡眠效率和睡眠潜伏期有所改善。与对照组相比，富含 EPA 组的睡眠效率有提高的趋势，总卧床时间和总睡眠时间均显著减少。这项研究首次证明了膳食补充 Omega-3 对健康成年正常睡眠者的积极影响。</t>
  </si>
  <si>
    <t>奶蓟草：肝脏的主要功能是解毒，水飞蓟素通过调节肝脏中解毒酶（特别是 I 期和 II 期解毒酶）的活性来增强这一过程。研究表明，水飞蓟素可提高超氧化物歧化酶和过氧化氢酶等酶的活性，这些酶在解毒过程中起着至关重要的作用。这种增强作用有助于肝脏更有效地代谢和排泄毒素，包括药物和环境污染物。</t>
  </si>
  <si>
    <t>降低同型半胱氨酸/脂肪肝</t>
  </si>
  <si>
    <t>TMG里的甜菜碱它是人体内甲基供体，促进体内甲基化反应。减少肝脏堆积保护肝细胞。</t>
  </si>
  <si>
    <t>11 办公室久坐不动人群</t>
  </si>
  <si>
    <t>久坐不动是现代办公人群的常见状态，长期下来容易带来各种健康问题</t>
  </si>
  <si>
    <t>您好，请问平时用电脑时间多么，有没有运动的习惯，膳食摄入是否均衡呢</t>
  </si>
  <si>
    <t>经常对着电子设备</t>
  </si>
  <si>
    <t>叶黄素：有利于减少蓝光伤害，缓解眼疲劳，保护视网膜，辅助改善白内障和老年黄斑病变。美国 FloraGLO® 专利天然游离形叶黄素，100+项人体临床试验验证。（市面同品质¥200-250/月，营养工厂¥68.2/月，每日仅需 2.27 元）
论文：https://pubmed.ncbi.nlm.nih.gov/19541291/</t>
  </si>
  <si>
    <t>通过临床试验数据，与对照组相比，食用富含 DHA 后，睡眠效率和睡眠潜伏期有所改善。</t>
  </si>
  <si>
    <t>很少运动</t>
  </si>
  <si>
    <t>维生素 D3K2 钙</t>
  </si>
  <si>
    <t>维生素 D3K2 钙：D3 促进钙吸收，K2 将钙引入骨骼，加上好吸收的柠檬酸钙，共同促进骨骼健康 ，精准锁钙入骨，强健骨质。（市面同品质¥90-200/月，营养工厂¥58.2/月，每日仅需 1.94 元）
论文：https://pubmed.ncbi.nlm.nih.gov/32972636/</t>
  </si>
  <si>
    <t>维生素 D3 在人体内的主要功能是帮助钙和磷的吸收，这对维持骨骼和牙齿的健康至关重要。                                                                                                                                     维生素 K2 在体内的主要作用之一是激活钙结合蛋白质，这些蛋白质负责将钙从血液输送到骨骼，从而防止钙在动脉壁沉积，减少动脉硬化的风险。</t>
  </si>
  <si>
    <t>膳食摄入不均衡</t>
  </si>
  <si>
    <t>提供必需营养，补充微量元素。</t>
  </si>
  <si>
    <t>12 用眼过度，眼疲劳</t>
  </si>
  <si>
    <t>现在电子产品使用频繁，用眼过度导致眼疲劳的情况非常普遍，需要重视眼部保养</t>
  </si>
  <si>
    <t>视网膜黄斑区核心营养素，减少蓝光损伤、保护视网膜细胞，辅助延缓玻璃体混浊相关不适
改善眼部血管微循环，减轻眼部炎症，缓解眼部疲劳</t>
  </si>
  <si>
    <t>13 女性保养</t>
  </si>
  <si>
    <t>女性保养涉及多个方面，需要针对性了解才能更好地满足女性的健康需求</t>
  </si>
  <si>
    <t>请问您比较关注那些方面呢
例如女性私密保养，平衡雌激素，或综合补充</t>
  </si>
  <si>
    <t>女性私密</t>
  </si>
  <si>
    <t>女性益生菌：助力抵抗有害菌，平衡私密微生态，辅助基础肠道护理与免疫调节。丹麦科汉森专利菌株 UREX™，关爱女性私护健康。（市面同品质¥113-175/月，营养工厂¥52.25/月，每日仅需1.74元）
论文：https://pmc.ncbi.nlm.nih.gov/articles/PMC7071157/</t>
  </si>
  <si>
    <t>平衡雌激素抗衰</t>
  </si>
  <si>
    <t>大豆异黄酮 (SI) 通过与雌激素受体结合在组织中产生强效雌激素作用，可能对多囊卵巢综合征 (PCOS) 女性有益，因为它可以降低睾酮、胆固醇、胰岛素、体重增加、炎症标志物和氧化应激。</t>
  </si>
  <si>
    <t>女性基础（可与以上两款搭配，不单独推）</t>
  </si>
  <si>
    <t>女士复合维生素：专为女士设计，18 种营养素科学剂量，每粒含有 18mg 铁。提供必需营养、补充微量元素。有益于提高身体免疫力和延缓衰老，保持好气色，改善发质，强韧指甲。（市面同品质无碘配方¥23-38/月，营养工厂¥14.73/月，每日仅需 0.49 元）
论文：https://pmc.ncbi.nlm.nih.gov/articles/PMC5852824/</t>
  </si>
  <si>
    <t>叶酸对于心血管健康、大脑系统与神经系统健康以及红血球形成方面都要非常重要的作用。</t>
  </si>
  <si>
    <t>14 肠胃不好，便秘或菌群失调</t>
  </si>
  <si>
    <t>肠胃健康直接影响营养吸收和身体状态，便秘或菌群失调都需要科学方式介入</t>
  </si>
  <si>
    <t>请问您更想要改善肠胃哪方面呀，比如：希望抗炎、减脂减重或呵护胃部健康</t>
  </si>
  <si>
    <t>改善炎症</t>
  </si>
  <si>
    <t>辅助减轻肠道炎症、舒缓肠道黏膜不适，对炎症相关的肠胃不适有所帮助</t>
  </si>
  <si>
    <t>减脂减重</t>
  </si>
  <si>
    <t>辅助调节肠道菌群平衡，改善菌群失衡引发的肠胃不适，还可促进肠道蠕动，对缓解便秘、改善排便规律有辅助作用</t>
  </si>
  <si>
    <t>养胃护胃</t>
  </si>
  <si>
    <t>罗伊氏乳杆菌：养胃护胃小能手，辅助抑制幽门螺旋杆菌感染，有利于增强免疫屏障、提升胃敏健康。丹麦诺维信 Pylopass™ 专利菌株，6 国 12 项临床研究，可安全缓解胃部不适。（市面同品质¥175-200/月，营养工厂¥92.5/月，每日仅需 3.08 元）
论文：https://pubmed.ncbi.nlm.nih.gov/23917169/</t>
  </si>
  <si>
    <t>补充肠道有益菌，辅助调节菌群平衡，改善菌群失衡引发的肠胃不适，还能促进肠道蠕动，对缓解便秘、改善排便规律有辅助作用</t>
  </si>
  <si>
    <t>15 男性性功能问题</t>
  </si>
  <si>
    <t>男性健康需要关注多方面，针对性的调节能帮助改善相关功能问题</t>
  </si>
  <si>
    <t>请问您是想要综合补充，还是针对性改善男士功能呢</t>
  </si>
  <si>
    <t>针对改善</t>
  </si>
  <si>
    <t>玛卡+喜来芝：辅助改善性功能，对提升男性睾酮水平有利，补充肌肉力量。秘鲁黑玛卡+专利 PrimaVie® 喜来芝，安心守护男士健康。（市面同品质¥400-600/月，营养工厂 ¥109/月，每日仅需 3.63 元）
论文：https://pmc.ncbi.nlm.nih.gov/articles/PMC10910417/</t>
  </si>
  <si>
    <t>玛卡能够通过调节内分泌系统，提高精子数量、活动力和形态质量，从而显著改善男性生育力。喜来芝富含富里酸和多种微量元素，能够显著改善精子数量和质量，同时增强精子活力，减少氧化应激对精子造成的损伤。</t>
  </si>
  <si>
    <t>综合补充</t>
  </si>
  <si>
    <t>牡蛎精：有利于男性精力、体力、两性力多维提升，辅助提高运动表现。复配氨基酸螯合锌，生物利用度比普通锌高 200%，促进睾酮合成、维护精子健康。（市面同品质¥300-400/月，营养工厂¥68.2/月，每日仅需 2.27 元）
论文：https://pubmed.ncbi.nlm.nih.gov/39452873/</t>
  </si>
  <si>
    <t>牡蛎精富含锌元素，锌对男性维持精子数量、活力及改善精子质量有辅助作用，可间接为男性备孕提供营养支持。</t>
  </si>
  <si>
    <t>男性基础（可与以上两款搭配，不单独推）</t>
  </si>
  <si>
    <t>男士复合维生素：专为男士定制，含 20 种科学剂量营养素：12 种维生素 + 7 大核心矿物质，搭配锌、硒及番茄红素，关键营养全覆盖，助力前列腺健康、提升睾酮水平、辅助改善脱发（市面同品质无碘配方¥23-38/月，营养工厂¥14.73/月，每日仅需0.49元）
论文：https://pmc.ncbi.nlm.nih.gov/articles/PMC5852824/</t>
  </si>
  <si>
    <t>锌是男性生殖系统内重要的微量元素：锌影响青春期男性生殖器官和第二性征的发育；对前列腺炎、附睾炎等感染性疾病有预防作用。</t>
  </si>
  <si>
    <t>16 备孕支持</t>
  </si>
  <si>
    <t>备孕阶段的营养非常关键，科学的准备能为孕期健康打下好基础。请问您是需要男士备孕，还是女士备孕？</t>
  </si>
  <si>
    <t>请问您目前是在准备阶段还是已经在备孕了呢，是否在医院检查过需要补充的营养素呀</t>
  </si>
  <si>
    <t>男性备孕</t>
  </si>
  <si>
    <t>建议在备孕期间，任何补充剂的使用都在医生的指导下进行。备孕期，建议双方通过去医院或者相关机构，检测身体指标，定向补充营养素。</t>
  </si>
  <si>
    <t>牡蛎精富含锌元素，锌对男性维持精子数量、活力及改善精子质量有辅助作用，可间接为男性备孕提供营养支持</t>
  </si>
  <si>
    <t>女性备孕</t>
  </si>
  <si>
    <t>鱼油：提高妇女的怀孕率、受精率，改善自然受孕结果
论文：https://www.cell.com/heliyon/fulltext/S2405-8440(24)05355-6</t>
  </si>
  <si>
    <t>鱼油含 Omega-3，能辅助女性调节内分泌、男性改善精子活力，还可缓解备孕焦虑，为夫妻双方备孕提供营养支持</t>
  </si>
  <si>
    <t>亚精胺：亚精胺能够改善女性的卵子质量和生育结局
论文：https://pubmed.ncbi.nlm.nih.gov/37845508/</t>
  </si>
  <si>
    <t>17 运动健身人群</t>
  </si>
  <si>
    <t>运动健身人群非常需要补剂搭配，不同运动强度对应的补剂也会有所不同</t>
  </si>
  <si>
    <t>请问您平时运动强度怎么样呢，运动后会有难以入睡或肌肉酸痛等不适嘛</t>
  </si>
  <si>
    <t>基础运动</t>
  </si>
  <si>
    <t>提高运动表现</t>
  </si>
  <si>
    <t>尿石素A：对抗炎、抗氧化、抗衰老有辅助作用，帮助提高免疫力，提升肌肉力量、耐力和运动表现，改善骨骼健康。98% 高纯度尿石素 A。（市面同品质¥800-1700/月，营养工厂¥169/月，每日仅需 5.63 元）</t>
  </si>
  <si>
    <t>高强度运动</t>
  </si>
  <si>
    <t>氨糖软骨素：对抗炎抗氧化有帮助、助力保护软骨、改善关节损伤和运动功能。植物提取硫酸氨基葡萄糖，五合一舒缓配方，肠胃友好更温和。（市面同品质¥180-200/月，营养工厂 ¥78.2/月，每日仅需 2.61 元）
论文：https://pmc.ncbi.nlm.nih.gov/articles/PMC12250884/</t>
  </si>
  <si>
    <t>氨基葡萄糖对急性膝关节损伤后竞技男性运动员的功能能力方面表现出显著改善。
CoQ10可减少剧烈体力活动后的氧化应激和炎症，从而促进更快的恢复，它还有助于在运动过程中维持肌肉细胞的能量水平，从而提高整体表现和耐力。</t>
  </si>
  <si>
    <t>晚上运动后入睡困难</t>
  </si>
  <si>
    <t>运动后肌肉酸痛</t>
  </si>
  <si>
    <t>姜黄素在肌肉健康方面的作用主要表现在其抗炎抗氧化能力上。它能够减轻运动引起的肌肉损伤和炎症，加速肌肉恢复</t>
  </si>
  <si>
    <t>18 需促进骨骼健康，强健骨质</t>
  </si>
  <si>
    <t>骨骼健康关乎整体活动能力，尤其是随着年龄增长，骨骼保养越来越重要</t>
  </si>
  <si>
    <t>请问您主要考虑综合改善骨骼健康，或者有运动保护关节的需求呢</t>
  </si>
  <si>
    <t>综合改善</t>
  </si>
  <si>
    <t>论文：https://uda.cn/ingredient/urolithin-a</t>
  </si>
  <si>
    <t>D3 助钙吸收，K2 引钙入骨，搭配钙为骨骼供原料，协同强健骨质、护骨骼健康</t>
  </si>
  <si>
    <t>运动改善关节</t>
  </si>
  <si>
    <t>软骨素和氨糖的协同作用可以一起刺激新软骨的合成，修复受损软骨，缓解疼痛。</t>
  </si>
  <si>
    <t>19 经常抽烟，烟瘾重</t>
  </si>
  <si>
    <t>其实长期抽烟不只是影响肺部，对神经和肝脏也会有一定负担</t>
  </si>
  <si>
    <t>请问您除了呵护肺部之外，是否有想要同时保护神经和肝脏健康呢</t>
  </si>
  <si>
    <t>呵护肺部</t>
  </si>
  <si>
    <t>槲皮素：在抗氧化和抗炎方面有辅助作用，帮助维持肺部细胞健康、提高运动耐力和性能，辅助降低血浆尿酸浓度，减少心血管疾病风险。Quercefit® 专利技术，生物利用度比普通槲皮素提高 20 倍。（市面同品质¥275-375/月，营养工厂 ¥54.1/月，每日仅需 1.8 元）
论文：https://pmc.ncbi.nlm.nih.gov/articles/PMC9731755/</t>
  </si>
  <si>
    <t>保护神经
保护肝脏</t>
  </si>
  <si>
    <t>脏的主要功能是解毒，水飞蓟素通过调节肝脏中解毒酶（特别是 I 期和 II 期解毒酶）的活性来增强这一过程</t>
  </si>
  <si>
    <t>槲皮素能清除吸烟产生的自由基，减轻氧化应激对肺部、血管细胞的损伤，还可辅助保护呼吸道黏膜</t>
  </si>
  <si>
    <t>PQQ+PS：</t>
  </si>
  <si>
    <t>PQQ 具有强大的抗氧化性质，可以帮助中和自由基并减少氧化应激对神经系统的损害。这有助于保护神经细胞免受损伤，维持神经系统的健康状态。</t>
  </si>
  <si>
    <t>20 儿童成长，助力身体发育</t>
  </si>
  <si>
    <t>儿童成长发育期的营养补充非常关键，直接影响身体发育和健康基础。</t>
  </si>
  <si>
    <t>请问您想要提高儿童哪方面成长需求呢，如神经发育、身体发育、呵护肠道健康或提升免疫力呢</t>
  </si>
  <si>
    <t>0岁以上，呵护肠道</t>
  </si>
  <si>
    <t>3个月以上婴儿，少儿及成人，神经发育</t>
  </si>
  <si>
    <t>婴幼少儿DHA藻油</t>
  </si>
  <si>
    <t>婴幼少儿DHA藻油：促进婴幼儿神经发育，助力大脑、视觉、记忆力、认知各方面成长。帝斯曼原料，优质深海裂壶藻，腥味淡更安全纯净，全球 200+ 临床研究。（市面同品质¥125-200/月，营养工厂¥44.5/月，每日仅需 1.48 元）
论文：https://pmc.ncbi.nlm.nih.gov/articles/PMC6860654/</t>
  </si>
  <si>
    <t>一岁以上补充，少儿及成人，身体发育</t>
  </si>
  <si>
    <t>儿童成长液体钙镁锌：有机钙镁锌好吸收，改善免疫助成长，对骨骼强健与身体发育有益，帮助提升身体活力。Double Nutri® 专利，3.6 倍高吸收，敏宝专研技术，0 防腐剂、0 蔗糖、0 香精色素。（市面同品质¥150-210/月，营养工厂 ¥89/月，每日仅需 2.97 元）
论文：http://link.springer.com/article/10.1007/s12011-015-0537-7</t>
  </si>
  <si>
    <t>4岁及以上人群，提升免疫力</t>
  </si>
  <si>
    <t>维生素D3滴剂：有利于促进神经发育，辅助调节免疫系统、降低流感风险，帮助缓解产后抑郁、改善认知功能。滴剂形态入口轻松，复配 MCT 油，低敏配方易消化。（市面同品质¥33-42/月，营养工厂¥11.5/月，每日仅需 0.38 元）
论文：https://pmc.ncbi.nlm.nih.gov/articles/PMC10163584/</t>
  </si>
  <si>
    <t>9岁及以上人群</t>
  </si>
  <si>
    <t>21 血压/血管/前列腺/胰岛素抵抗</t>
  </si>
  <si>
    <t>血管方面</t>
  </si>
  <si>
    <t>纳豆激酶：帮助维持健康的血压、血糖、血脂，呵护心血管，辅助改善动脉粥样硬化。行业标杆 EsseZyme™ 专利纳豆激酶。（市面同品质¥150-200/月，营养工厂¥39.1/月，每日仅需 1.3 元）
论文：https://pmc.ncbi.nlm.nih.gov/articles/PMC5372539/</t>
  </si>
  <si>
    <t>为了您的健康考虑，建议您可以向医生咨询后再购买服用~</t>
  </si>
  <si>
    <t>前列腺问题/男性起夜多</t>
  </si>
  <si>
    <t>胰岛素</t>
  </si>
  <si>
    <t>R-硫辛酸：促进糖代谢帮助减重，助力血糖稳定，改善胰岛素抵抗，帮助降低糖尿病风险。辅助保护神经系统和改善认知。100% 天然构型右旋 R-硫辛酸，高生物利用度。（市面同品质 ¥1200-1600/月，营养工厂 ¥44.5/月，每日仅需 1.48 元）
论文：https://pmc.ncbi.nlm.nih.gov/articles/PMC9824456/</t>
  </si>
  <si>
    <t>产品名称</t>
  </si>
  <si>
    <t>认证文件</t>
  </si>
  <si>
    <t>为什么要吃？成分解释
（参考模板和竞品详情页）</t>
  </si>
  <si>
    <t>为什么要选营养工厂
三句话卖点（待审核）</t>
  </si>
  <si>
    <t>产品简介</t>
  </si>
  <si>
    <t>N 大标准</t>
  </si>
  <si>
    <t>专利原料优势</t>
  </si>
  <si>
    <t>专利原料</t>
  </si>
  <si>
    <t>专利图片
注：图片容易错位，请核实后再发图片</t>
  </si>
  <si>
    <t>原料授权材料（优先）</t>
  </si>
  <si>
    <t>原料采购证明</t>
  </si>
  <si>
    <t>莱特合作声明</t>
  </si>
  <si>
    <t>专利材料</t>
  </si>
  <si>
    <t>专利号</t>
  </si>
  <si>
    <t>原料认证材料</t>
  </si>
  <si>
    <t>安全性评价</t>
  </si>
  <si>
    <t>获奖情况（图见文档）</t>
  </si>
  <si>
    <t>生产工厂资质|认证
（点连接跳转获取相应原件）
注：是工厂资质，非产品资质</t>
  </si>
  <si>
    <t>原料供应商简介-为什么、区别、优势</t>
  </si>
  <si>
    <t>功效块（IF 排序，加一句话）</t>
  </si>
  <si>
    <t>黄金文献</t>
  </si>
  <si>
    <t>父母|老人</t>
  </si>
  <si>
    <t>女性</t>
  </si>
  <si>
    <t>儿童</t>
  </si>
  <si>
    <t>上班族</t>
  </si>
  <si>
    <t>其他人群|宠物</t>
  </si>
  <si>
    <t>鱼油
FISH OIL</t>
  </si>
  <si>
    <t>01-MSC认证.pdf
02-FOS认证.pdf
12-PCB全扫描.pdf
13-重金属检测.pdf
16-水产证 HC 08734-2025.pdf
03-IFOS 认证2025 - KinOmega BioPharm.pdf
08-GOED Certificate 2025-2026.pdf
14-营养工厂【IFOS 报告】鱼油（批号 FO0115809）.pdf
15-【RTCP 证书】鱼油（批号 FO0115809）.pdf
04-美国FDA认证.pdf
05-欧盟CEP认证（欧盟药品适应性证书）.pdf
06-日本GMP认证.pdf
07-韩国FDA认证 .pdf
09-ISO （9001， 14001，22000）.pdf
10-四川欣美加产品优势.pdf
11-欣美加公司介绍.pdf</t>
  </si>
  <si>
    <t>金凯撒巅峰鱼油和 GNC 97%</t>
  </si>
  <si>
    <t xml:space="preserve"> Omega-3 是人体必需脂肪酸,但人体无法自行合成
70%的人群缺乏 Omega-3 脂肪酸
补充鱼油,就是补充 Omega- 3脂肪酸
</t>
  </si>
  <si>
    <t>1. 顶配 95% 超高纯度 rTG 鱼油，IFOS 认证原料
2. 秘鲁纯净深海小鱼，远离核污染
3. DHA 和 EPA 黄金配比，全家老小心脑健康</t>
  </si>
  <si>
    <t>营养工厂的 rTG 构型95%高纯深海鱼油核心成分为EPA和DHA——这是两种在人体中发挥着重要功能的Omega-3，有着促进心血管健康、减重和减脂、改善睡眠质量、维护皮肤健康、减轻身体炎症、支持大脑认知功能的作用。
本品每份（两粒）含总 Omega-3 1289mg，其中EPA 680mg，DHA 550mg，DPA 27mg，其他Omega-3 32mg。
每日 2 粒即可，每月 69 元即可获得与市面250-300 元同类市面同品质的原料配方，兼具专业性与经济性。</t>
  </si>
  <si>
    <t>纯度：95% 纯度高
结构：rTG 构型吸收好
比例：DHA 和 EPA 黄金配比
原料：深海小鱼污染少
包装：板式胶囊防氧化
胶囊：小粒鱼油易吞服
认证：IFOS 五星认证</t>
  </si>
  <si>
    <t>1.营养工厂的鱼油原料来自秘鲁核心捕捞区域（太平洋粮农组织 87 号渔区，距离核污染区17342公里）的鳀鱼其体内含丰富的油脂且不易受海洋重金属等污染物影响。通过了海洋之友（ FOS , Friend of Sea ）认证和海洋管理委员会（ MSC ， Marine Stewardship Council ）认证（图见文档）
2.rTG 构型同时具备高浓度与高吸收优势。它的吸收率贴近人体天然需求，无需额外代谢即可被小肠直接吸收。且经过 “转化 - 重构” 工艺，rTG 鱼油的 EPA + DHA 浓度普遍能达到 80%-95%。</t>
  </si>
  <si>
    <t>/</t>
  </si>
  <si>
    <t>img_v3_02rc_3e5a8d78-3780-48aa-8d7f-a96ae8caa47g.png</t>
  </si>
  <si>
    <t>客戶 合作聲明20251215 Signed.pdf</t>
  </si>
  <si>
    <t>2022108028743-发明专利证书一种降低鱼油中低聚物.pdf
发明专利证书-甘油三酯型鱼油及制备的甘油三酯型鱼油.jpg
发明专利证书-提高鱼油中二十碳五烯酸乙酯的纯度的方法.pdf
发明专利证书：一种深海鱼油提取加工用输送装置及使用方法2024118339381.pdf</t>
  </si>
  <si>
    <t>ZL 2022 1 0802874.3
ZL 201310199376.5
ZL 20161 0475726.X
ZL 2024 1 1833938.1
ZL 2019 1 1360754.7
ZL 201921091738.8
ZL 201921096616.8
ZL 201921092768.0
ZL 201921091727.X
ZL 201921091718.0
ZL 201921091736.9</t>
  </si>
  <si>
    <t>CEP_（欧盟药品适应性证书）.pdf
FOS Certificate（FOS认证）.pdf
IFOS Raw Materials Certificate 2025 - KinOmega BioPharm.pdf
ISO （9001， 14001，22000）.pdf
Japan PMDA cGMP （日本GMP）.pdf
KinOmega_GOED Certificate 2025-2026.pdf
Korean FDA  Approval.pdf
MSC-C-66020 28052025--MSC证书.pdf
Statement on EU Registration.pdf
USFDA No Observations Letter -(美国FDA药品批文).pdf</t>
  </si>
  <si>
    <t>1. 第二十三届健康天然原料、食品配料中国展健康营养配方奖
2. 2024 年博华深圳联展明星健康原料奖
3. 2025 年 CPHI 中国医药展 “天然成分奖” 银奖</t>
  </si>
  <si>
    <t>香港莱特维健药厂有限公司：FDA、HACCP、GMP、ISO 22000</t>
  </si>
  <si>
    <t>营养工厂的鱼油原料来自四川欣美加生物医药股份有限公司，其位于四川省什邡市，占地面积 120 亩，年处理原料鱼油产能3万吨，是全球领先的高纯度药品级和食品级Omega-3二十碳五烯酸（EPA）和二十二碳六烯酸（DHA）生产企业。
该企业通过了质量、环境、食品安全三大核心管理体系的 ISO 认证，先后注册了多个国家的9个DMF，通过美国FDA，韩国FDA和日本PMDA的GMP审核，并取得欧盟EDQM的《药品适应性证书》。
 官网链接：https://cn.kinomega.com</t>
  </si>
  <si>
    <t>心血管：鱼油补充显著改善健康人血管内皮功能  https://academic.oup.com/cardiovascres/article-abstract/59/4/955/332702?redirectedFrom=fulltext&amp;login=false IF：13.08
护肤：高 DHA 水平及低 LA 水平对痤疮有保护作用 https://doi.org/10.1093/bjd/ljaf052 IF：9.6
肌肉：鱼油补充剂增强老年人抗阻训练的肌肉适应性，提高肌肉力量和身体表现 https://doi.org/10.3390/nu14142844 IF：6.7
记忆力：24个月补充 ω-3 脂肪酸、黄烷醇类类胡萝卜素和维生素E可改善老年人大脑工作记忆 https://pubmed.ncbi.nlm.nih.gov/34999335/ IF：6.3
血糖：鱼油补充剂可降低健康中老年人 2 型糖尿病早期风险 https://doi.org/10.1039/d5fo01018g IF：6.1
抗炎：鱼油补充显著降低高血压患者炎症标志物，改善心血管代谢风险 https://doi.org/10.1039/C9FO03085A IF：6.1
认知、注意力：鱼油补充剂能改善儿童大脑信息处理能力 https://pubmed.ncbi.nlm.nih.gov/36076781/ IF：5.6
肝脏：鱼油加维生素 D3 干预可改善非酒精性脂肪肝病标志物 https://doi.org/10.1007/s00394-021-02772-0 IF：5
吸收（非功能）：鱼油和乳清蛋白补充剂可改善老年人身体性能 https://doi.org/10.1371/journal.pone.0256386 IF：3.7
肾脏：鱼油可增强低剂量环磷酰胺治疗狼疮性肾炎的疗效 https://doi.org/10.29219/fnr.v65.7842 IF：3.4
心脏：富含 DHA 鱼油补充可改善超重成人的心率变异性及运动时心率反应 https://doi.org/10.1017/S0007114508959225 IF：3</t>
  </si>
  <si>
    <t>心血管：https://academic.oup.com/cardiovascres/article-abstract/59/4/955/332702?redirectedFrom=fulltext&amp;login=false IF：13.08</t>
  </si>
  <si>
    <t>肌肉：https://doi.org/10.3390/nu14142844 IF：6.7
血糖：https://doi.org/10.1039/d5fo01018g IF：6.1
抗炎：https://doi.org/10.1039/C9FO03085A IF：6.1
吸收（非功能）：https://doi.org/10.1371/journal.pone.0256386 IF：3.7
记忆力：https://pubmed.ncbi.nlm.nih.gov/34999335/ IF：6.3</t>
  </si>
  <si>
    <t>肌肉：https://doi.org/10.3390/nu14142844 IF：6.7
心血管：https://academic.oup.com/cardiovascres/article-abstract/59/4/955/332702?redirectedFrom=fulltext&amp;login=false IF：13.08</t>
  </si>
  <si>
    <t>认知：https://doi.org/10.3390/foods11172595 IF：5.2
https://pubmed.ncbi.nlm.nih.gov/36076781/ IF：5.6
记忆力：https://doi.org/10.3390/foods11172595 IF：5.2
注意力：https://pubmed.ncbi.nlm.nih.gov/36076781/ IF：5.6</t>
  </si>
  <si>
    <t>心血管：https://academic.oup.com/cardiovascres/article-abstract/59/4/955/332702?redirectedFrom=fulltext&amp;login=false IF：13.08（男性）</t>
  </si>
  <si>
    <t>烟酰胺单核苷酸
NMN</t>
  </si>
  <si>
    <t>邦泰NMN毒理性实验报告(1).pdf
PIIS1550413116304958 2016Cell NMN.pdf
Research Neuroprotective effects 12i24-202453.pdf
NMN抗氧化实验检验报告-邦泰(1).pdf
NMN护肝实验检验报告-邦泰(1).pdf
Bontac NMN self-gras证书.pdf
邦泰NMN介绍.pptx</t>
  </si>
  <si>
    <t>莱特维健NMN</t>
  </si>
  <si>
    <t>NMN 是 NAD⁺ 的直接前体，对能量代谢和细胞修复至关重要。
人体 NAD⁺ 水平会随年龄逐渐下降。
补充 NMN 就是为身体补充合成 NAD⁺ 的关键原料。</t>
  </si>
  <si>
    <t>1. 顶配超高纯度 99.6% NMN
2. 邦泰专利原料，全酶发酵法非化学合成
3. 提升 NAD+ 水平，激活年轻态</t>
  </si>
  <si>
    <t>营养工厂的99.6%高纯度NMN原料，来自《CELL》 文章中大卫·辛克莱团队使用的 NMN 原料供应商——邦泰生物。含量为 500 mg/粒，采用生物全酶法定向技术提取无重金属污染，具有改善身体机能、改善睡眠质量、提高精子质量、保护茂密头发、改善疲劳状态等多重健康益处。生产工厂具备FDA ISO22000 HACCP GMP香港药厂资质多项认证，具有制药级生产标准。
每日 1-2 粒，每月 74.8 元即可获得与市面 3200-8000 元市面同品质的原料配方，兼具专业性与经济性。</t>
  </si>
  <si>
    <t>原料：邦泰 NMN 
纯度：99.6% 高纯度
含量：每份含 500 mg
临床：《Cell》发表
专利：23 项 NMN 专利
认证：美国 GRAS 权威认证
技术：Bonzyme 全酶催化技术
绿色：不含有害溶剂残留</t>
  </si>
  <si>
    <t>1. 专利与权威背书 ：邦泰生物拥有 23 项 NMN 专利，是全球拥有最多专利的 NMN 原料。是《Cell》杂志大卫·辛克莱尔团队 NMN 抗衰功能研究的原料供应商。
2. 工艺与纯度优势 ：采用 Bonzyme 全酶催化技术，以发酵法获取底物，经七步纯化工艺（Bonpure 七步纯化）处理，不含α-异构体及有害溶剂残留。
3. 安全性高 ：原料通过美国 SELF GRAS 安全认证，经过毒理学验证，安全性有保障</t>
  </si>
  <si>
    <t>BTCEH-N®️NMN 专利 NMN</t>
  </si>
  <si>
    <t>image19.jpeg</t>
  </si>
  <si>
    <t>20260310 萊特維健邦泰UDA-NMN協議.pdf</t>
  </si>
  <si>
    <t>img_v3_02tf_9127708d-927e-4419-812e-d95f144e130g.png</t>
  </si>
  <si>
    <t>CN104817604A-发明专利证书一种β-烟酰胺单核苷酸的纯化方法.pdf
JP6324511B2-发明专利证书一种β-烟酰胺单核苷酸的纯化方法.pdf
US10214552-发明专利证书一种β-烟酰胺单核苷酸的纯化方法.pdf</t>
  </si>
  <si>
    <t>US 10214552 B2
CN 104817604 A
JP 6324511 B2</t>
  </si>
  <si>
    <t>Bontac NMN self-gras证书.pdf</t>
  </si>
  <si>
    <t>邦泰NMN毒理性实验报告(1).pdf</t>
  </si>
  <si>
    <t>待获取</t>
  </si>
  <si>
    <t>香港莱特维健药厂有限公司：FDA、HACCP、GMP、ISO 22000
澳美（香港）健康产品有限公司：FDA、HACCP、GMP、ISO 22000
备注：需确定批次后才能确定生产工厂</t>
  </si>
  <si>
    <t xml:space="preserve">邦泰生物工程（深圳）有限公司（BONTAC Biotech） 是专注于合成生物技术与生物酶催化的功能性原料研发与生产企业，成立于 2012 年，总部位于中国深圳，在深圳、江苏等地建有研发与生产基地，核心产品覆盖 NMN、NAD⁺ 前体、辅酶 Q10、赤藓糖醇等，产品广泛应用于营养健康、食品、医美与科研领域，服务全球多个国家和地区的品牌客户。
邦泰生物是 较早实现 NMN 工业化量产的中国企业之一，以全酶法生物合成为核心技术路线，区别于以成本导向为主的化学合成型厂商，在 工艺稳定性、纯度控制和合规体系上处于行业前列。公司通过 ISO9001、FSSC22000、HALAL、KOSHER、SELF-GRAS（美国） 等多项质量与安全认证，具备长期、规模化向国际市场供货的能力。
核心技术优势：全酶法 NMN 生物合成体系
  技术路线差异：邦泰 NMN 采用 多酶级联的全酶法合成工艺，不依赖有机溶剂和高风险化学反应，相比传统化学合成路线，杂质来源更可控、环境友好性更高。 
  原料品质优势：通过自有的多步精制与结晶控制工艺，NMN 原料可实现 高纯度、批次一致性好、稳定性高，更适合长期口服产品和科研应用。
  产业化能力：并非实验室级工艺，而是已实现 连续化、规模化生产，这是许多“酶法概念型”企业尚不具备的关键差异。
 https://www.bontac-bio.com
 </t>
  </si>
  <si>
    <t>血糖：烟酰胺单核苷酸（NMN）能提升绝经后糖尿病前期女性肌肉胰岛素敏感性 https://pubmed.ncbi.nlm.nih.gov/33888596/ IF：56.9
抗衰：MIB-626 口服给药安全，能显著提升血液 NAD 水平及其代谢物 https://pubmed.ncbi.nlm.nih.gov/35182418/ IF：5.6
精力：NMN 补充剂能安全提升血 NAD 浓度，改善健康成年人的生理功能 https://pubmed.ncbi.nlm.nih.gov/36482258/ IF：5.3
睡眠：NMN 摄入能提高老年人血液 NAD+ 水平、维持步行速度、改善睡眠质量 https://pubmed.ncbi.nlm.nih.gov/38789831/ IF：5.3
肌肉：NMN 下午摄入能改善老年人下肢功能和嗜睡 https://pubmed.ncbi.nlm.nih.gov/35215405/ IF：4.8
血管：烟酰胺单核苷酸（NMN）补充剂可提升 NAD+ 代谢，改善血管健康 https://pubmed.ncbi.nlm.nih.gov/36797393/ IF：3.8
安全性（非功能）：β-烟酰胺单核苷酸（NMN）口服补充安全，耐受性良好 https://pubmed.ncbi.nlm.nih.gov/36002548/ IF：3.8</t>
  </si>
  <si>
    <t>血糖：https://pubmed.ncbi.nlm.nih.gov/33888596/ IF：56.9
抗衰：https://www.sciencedirect.com/science/article/pii/S1550413116304958 IF：27.7（动物）
https://www.cell.com/cell/fulltext/S0092-8674(13)01521-3 IF：45.3
血管：https://pubmed.ncbi.nlm.nih.gov/40160097/ IF：16.5（动物）</t>
  </si>
  <si>
    <t>抗衰：https://pubmed.ncbi.nlm.nih.gov/35182418/ IF：5.6
精力：https://pubmed.ncbi.nlm.nih.gov/38789831/ IF：5.3
肌肉：https://pubmed.ncbi.nlm.nih.gov/35215405/ IF：4.8
睡眠：https://pubmed.ncbi.nlm.nih.gov/35215405/ IF：4.8
https://ajtm.journals.publicknowledgeproject.org/index.php/ajtm/article/view/2535 IF：4.06</t>
  </si>
  <si>
    <t>血糖：https://pubmed.ncbi.nlm.nih.gov/33888596/ IF：56.9
精力：https://doi.org/10.1007/s11357-022-00705-1 IF：5.3
抗衰：https://doi.org/10.1007/s11357-022-00705-1 IF：5.3</t>
  </si>
  <si>
    <t>精力：https://pubmed.ncbi.nlm.nih.gov/34238308/ IF：4.5（中青年）
https://doi.org/10.1007/s11357-022-00705-1 IF：5.3（男性）
抗衰：https://pubmed.ncbi.nlm.nih.gov/36797393/ IF：3.8（中年人）
https://doi.org/10.1007/s11357-022-00705-1 IF：5.3（男性）
血管：https://pubmed.ncbi.nlm.nih.gov/36797393/ IF：3.8（中年人）
安全性（非功能）：https://pubmed.ncbi.nlm.nih.gov/36002548/ IF：3.8（成年人）</t>
  </si>
  <si>
    <t>AKK
AKKERMANSIA COMPLEX</t>
  </si>
  <si>
    <t>inner health 金标 AKK</t>
  </si>
  <si>
    <t>AKK 是维护肠屏障与代谢健康的新一代益生菌，但难以通过普通食物直接获取。
现代饮食与压力导致许多人肠道内 AKK 菌丰度显著降低。
补充 AKK 复合配方就是补充这种关键的代谢管理菌株。</t>
  </si>
  <si>
    <t>1. 300 亿专利 AKK PROBIO®，原料已达到美国 GRAS 安全标准
2. 15 项国际专利，6+ SCI 论文
3.  体重代谢管理、食欲糖油克星、免疫与肠道健康支持</t>
  </si>
  <si>
    <t>营养工厂的AKK瘦子菌核心成分为嗜粘蛋白阿克曼菌（AKK 菌）—— 这是肠道微生态中与代谢健康高度相关的关键菌株，可通过调控肠道微环境，辅助改善糖脂代谢、体重管理，同时关联心血管稳态、血糖调控及肠道功能维护。 本品含 AKK PROBIO® 专利菌株（300 亿 CFU / 份，保藏号 CGMCC NO.20955），原料通过 FDA GRAS 安全认证，符合食品级安全标准，科学干预无额外身体负担。 每日 2 粒即可，每月 149 元即可获得与市面 700-3000 元同类大牌同源规格的原料配方，兼具专业性与经济性。</t>
  </si>
  <si>
    <t>菌株：AKK PROBIO® 
来源：分离自游泳冠军肠道
安全：原料达到美国 GRAS 安全标准
科研：12+ 篇 SCI 论文
实验：人体临床验证效果
专利：18 项授权国际专利
安全：四大毒理试验全绿灯</t>
  </si>
  <si>
    <t>采用 AKK PROBIO 专利菌株。 原料达到美国 GRAS 安全标准，符合食品级安全标准，科学干预无额外身体负担。 原料 18+ 国际专利，科研实力硬核。</t>
  </si>
  <si>
    <t>AKKPROBIO® 专利 AKK</t>
  </si>
  <si>
    <t>AKK授权.pdf</t>
  </si>
  <si>
    <t>还原型辅酶Q10
UBIQUINOL CoQ 10</t>
  </si>
  <si>
    <t>【SGS 第三方检测（含量）】辅酶Q10（批号 QH0115805）——莱特第七批 .pdf
【SGS 第三方检测】辅酶Q10（批号 QH0115805）——莱特第七批 .pdf
辅酶Q10专利.pdf</t>
  </si>
  <si>
    <t>辅酶 Q10 是细胞线粒体能量代谢必需的脂溶性营养素。
随着年龄增长，体内辅酶 Q10 尤其是还原型水平明显下降。
补充还原型辅酶 Q10 就是直接补充高生物利用度的辅酶 Q10。</t>
  </si>
  <si>
    <t>1. 辅酶鼻祖，Kaneka® 专利泛醇，80+ 专利，50+ 国家，300+ 大牌选用。全球唯一安全且临床认证的还原型辅酶原料*。
2. 全天然酵母发酵还原型辅酶 Q10，是传统氧化型辅酶吸收率的 1.74 倍。
3. 强效护心，助代谢，助备孕，熬夜疲惫刚需，远离心慌心悸。
*</t>
  </si>
  <si>
    <t>营养工厂的还原型辅酶 Q10，核心成分为 Kaneka 专利泛醇（100% 生物同源活性形式），无需人体转化直接吸收，游离态生物利用度达普通氧化型 Q10 的 1.74 倍，体内有效存留时间长达 24 小时，关联心血管健康维护、线粒体能量提升、氧化应激防护、生育健康支持、压力缓解及运动表现优化等多重健康益处。
本品含日本 Kaneka® 独家专利原料，具备超高生物利用度，产品采用 100% 纯发酵工艺制成，具有极高的稳定性与吸收率，依托数千项全球相关研究及 60+ 篇人体临床科研文献背书，生产工厂具备 FDA ISO22000 HACCP GMP香港药厂资质多项认证，长期使用安全无副作用，符合国际顶尖食品级安全标准。
每日 2 粒即可，每月 99 元即可获得与市面300-600 元同类市面同品质的原料配方，兼具专业性与经济性。</t>
  </si>
  <si>
    <t>专利：日本 Kaneka® 专利
剂量设计：每份（2 粒）100mg 泛醇,不盲目追求每粒高剂量,遵循科学服用建议
形式：还原型
吸收：为普通氧化型 1.74 倍
工艺：独家微生物发酵提取专利技术,100% 天然酵母提取,天然纯净,活性更高
浓度：96% 高浓度
油脂选择：复配橄榄油,能有效改善辅酶氧化还原状态,使血液中氧化辅酶 Q10 的百分比下降
包装形式：独立板式包装,方便卫生,不黏连</t>
  </si>
  <si>
    <t>1. 高吸收率：100% 生物同源活性形式，无需人体转化可直接利用，游离态生物利用度达普通氧化型 Q10 的 1.74 倍，体内有效存留时间长达 24 小时，血清中有效成分浓度显著更高。
2. 高纯度与安全性：Kaneka Ubiquinol ®采用非转基因天然酵母菌株通过微生物发酵制成。酵后的酵母经过纯化和结晶，然后干燥。之后，产品经过250微米的筛分工艺，以滤除任何潜在的交叉污染，不含合成辅酶 Q10 成分中常见的杂质，每个步骤都经过严格监控，并在每个关键控制点进行测试，以确保质量。
3. 科学与权威背书：Kaneka Ubiquinol 是世界上第一款可作为营养补充剂成分使用的 Ubiquinol，是世界上第一个也是唯一一个获得专利的泛醇成分。拥有 45 年以上研究积累、80多项临床研究。获得2024年度健康抗衰老成分奖。</t>
  </si>
  <si>
    <t>Kaneka® 辅酶 Q10</t>
  </si>
  <si>
    <t>image3.jpeg</t>
  </si>
  <si>
    <t>Kaneka UDA Logo agreement (both signed).pdf</t>
  </si>
  <si>
    <t>img_v3_02tg_1471a8a9-a6b2-4642-af1f-1e8656a759bg.jpg</t>
  </si>
  <si>
    <t>辅酶Q10专利.pdf</t>
  </si>
  <si>
    <t>【GRAS】Expert Panel Consensus Statement Concerning the GRAS Status of KANEKA QH.pdf</t>
  </si>
  <si>
    <t>Ubiquinol(Subchronic_Toxicity).pdf</t>
  </si>
  <si>
    <t>1.2024 年全球营养配料奖（亚洲区） (Nutraingredients Asia Award 2024 Winner)
2.CMA 2024 年度原料供应商奖 (Raw Material Supplier Award Winner 2024) 
3.2024 年FFWS心血管健康成分奖 (FFWS Cardiovascular Award Winner 2024) 
4.2025 年FFWS 健康老化成分奖 (FFWS Healthy Ageing Award Winner 2025)</t>
  </si>
  <si>
    <t>Kaneka Corporation 是专注于功能性原料与生物技术研发生产的全球领军企业，成立于 1949 年，总部位于日本东京与大阪。Kaneka 在日本高砂（Takasago）、美国得克萨斯州（Pasadena）及比利时等地设有世界级生产基地，是全球首家实现辅酶 Q10 商业化生产的开拓者。核心产品 Kaneka Ubiquinol®（还原型辅酶 Q10） 获美国 FDA GRAS、Non-GMO Project Verified、KOSHER 等多项权威认证，业务版图横跨全球各大洲。
Kaneka 品牌定位与行业地位
行业奠基者与金标准： 拥有 45 年以上的辅酶 Q10 研发底蕴，是全球唯一能通过天然酵母发酵法提供全天然、高纯度还原型 Q10 的供应商。企业执行严苛的 cGMP 生产标准，依托由资深科学家组成的全球研发中心，支撑起从微生物发酵、纯化到稳定性封装的全产业链研发。
核心技术突破： 2007年，Kaneka 全球首家突破了“还原型 Q10 极易氧化”的行业性难题，成功研发出稳定化 Ubiquinol（泛醇）。该成分无需人体酶转化即可直接吸收，其生物利用度达普通氧化型 Q10 的 2 至 8 倍，拥有数十项全球专利，是目前公认的更符合人体生物学特性的能量补剂形态。
全球权威背书： Kaneka Ubiquinol® 被誉为辅酶 Q10 领域的“原研级别”原料，为 Healthy Origins、Jarrow Formulas、Now Foods、Doctor's Best 等数千家全球顶尖营养品牌供应原料。累计拥有超过 60 项人体临床研究 背书，涵盖心血管健康、高龄备孕、运动表现及抗衰老等多个领域，是全球医生与营养师首选的 Q10 品牌。
全球官网： https://www.kaneka.co.jp/en/</t>
  </si>
  <si>
    <t>神经：高剂量辅酶 Q10（CoQ10）补充剂对多系统萎缩（MSA）患者有临床益处 https://doi.org/10.1016/j.eclinm.2023.101920 IF：17
肝脏：辅酶Q10治疗可减少代谢功能障碍相关脂肪肝病患者的肝脏脂肪变性，并改善内皮、血管和心肌功能。https://doi.org/10.1186/s12933-024-02326-8 IF：10.6
抗氧：烟酰胺核糖和辅酶 Q10 可改善中重度 CKD 患者的氧化应激、炎症和细胞生物能量学指标 https://doi.org/10.2215/cjn.0000000624 IF：9.3
吸收（非功能）：补充辅酶 Q10 可提高心脏骤停后患者血浆中辅酶 Q10 水平 https://doi.org/10.1016/j.resuscitation.2021.01.041 IF：5.9
心脏：辅酶 Q10（尤以还原型辅酶 Q10）能显著改善老年患者心脏手术后的氧化应激和心肌保护 https://doi.org/10.18632/aging.103742 IF：5.5
精力：辅酶 Q10 补充可维持高原期间心肺适能并减轻疲劳 https://doi.org/10.1016/j.isci.2025.112112 IF：5
血压：辅酶Q10植物体技术显著改善健康年轻非吸烟者内皮反应性和总抗氧化能力。https://doi.org/10.1002/biof.1839 IF：5
认知：辅酶Q10和NADH联合补充可改善ME/CFS患者认知疲劳及生活质量。https://doi.org/10.3390/nu13082658 IF：5
肾脏：硒和辅酶Q10补充显著改善老年硒缺乏者的肾功能。https://doi.org/10.3390/nu12123780 IF：5
抗炎：辅酶 Q10 可减轻高强度运动引起的炎症 https://doi.org/10.3390/nu12020424 IF：4.5
血糖：辅酶 Q10 补充可提高运动员抗氧化能力，改善血糖控制 https://doi.org/10.3390/antiox9090823 IF：4.5
心血管：辅酶 Q10（CoQ10）的还原型（辅酶 Q10）可改善轻中度血脂异常患者的内皮功能 https://doi.org/10.3390/nu12041098 IF：4.5
肌肉：蜂王浆与辅酶Q10联合补充可显著改善高强度间歇运动表现，降低氧化应激和肌肉损伤标志物。https://doi.org/10.1080/15502783.2022.2086015 IF：3.9
阵痛：纳米姜黄素和辅酶Q10联合补充可显著改善偏头痛症状。https://doi.org/10.1080/1028415X.2019.1627770 IF：3.6
口腔：含辅酶 Q10 软糖可显著增加唾液分泌，缓解口干症状 https://doi.org/10.1371/journal.pone.0214495 IF：3.2
血脂：辅酶Q10补充可显著改善高脂血症患者HDL功能。https://doi.org/10.1016/j.nut.2022.111703 IF：3
抑郁：辅酶Q10可减轻抑郁症状，改善氧化应激和炎症状态。https://journals.lww.com/psychopharmacology/abstract/2024/05000/discovering_the_potential_value_of_coenzyme_q10_as.6.aspx IF：2.8
睡眠：辅酶Q10作为附加疗法可改善糖尿病神经痛患者的疼痛及睡眠干扰 https://doi.org/10.1007/s00228-022-03407-x IF：2.7
性生活：辅酶Q10和左旋肉碱补充剂可减少前列腺体积和改善勃起功能。https://doi.org/10.1080/01635581.2023.2295578 IF：2.4
心脏：辅酶Q10可减轻心梗后心脏炎症，促进心脏功能恢复。https://doi.org/10.1186/s12872-024-03729-x IF：2.3
血液：辅酶 Q10 可提高烧伤患者血清白蛋白水平 https://trialsjournal.biomedcentral.com/articles/10.1186/s13063-024-08006-y IF：2
免疫：辅酶Q10联合生物制剂治疗显著改善银屑病患者PASI和DLQI指标。https://doi.org/10.47750/jptcp.2022.931 IF：1.7
女性健康：辅酶Q10对多囊卵巢综合征女性的代谢和心理健康有积极影响。https://doi.org/10.1080/09513590.2021.1991910 IF：1.7
肠道：辅酶 Q10 可改善腹痛患者排便频率和生活质量 https://doi.org/10.1089/jmf.2018.4233 IF：1.6
备孕：辅酶Q10联合来曲唑能显著改善男性不育患者精子参数及性激素水平https://doi.org/10.12688/f1000research.131985.3 IF：1.39</t>
  </si>
  <si>
    <t>神经：https://doi.org/10.1016/j.eclinm.2023.101920 IF：17
备孕：https://www.nature.com/articles/nrurol.2011.203 IF：14.6
肝脏：https://doi.org/10.1186/s12933-024-02326-8 IF：10.6
心血管：https://doi.org/10.1186/s12933-024-02326-8 IF：10.6
https://www.cell.com/cell/fulltext/S0092-8674(13)00019-6 IF：42.5（动物）</t>
  </si>
  <si>
    <t>抗氧：https://doi.org/10.18632/aging.103742 IF：5.5
心脏：https://doi.org/10.18632/aging.103742 IF：5.5
https://doi.org/10.1007/s00394-022-02876-1 IF：4.3
心血管：
https://doi.org/10.1007/s00394-022-02876-1 IF：4.3
https://doi.org/10.3390/nu14163346 IF：5
https://doi.org/10.3390/cells11030509 IF：5.2
https://doi.org/10.3390/nu13041344 IF：5
肾脏：https://doi.org/10.3390/nu12123780 IF：5</t>
  </si>
  <si>
    <t>女性健康：https://doi.org/10.1080/09513590.2021.1991910 IF：1.7
抗炎：https://doi.org/10.1080/09513590.2020.1779689 IF：1.7
阵痛：https://doi.org/10.1080/1028415X.2017.1421039 IF：3.6</t>
  </si>
  <si>
    <t>抗氧：https://doi.org/10.3390/antiox9090823 IF：4.5（大学生）
https://doi.org/10.1007/s12011-020-02251-3 IF：3.6（男性）
血糖：https://doi.org/10.3390/antiox9090823 IF：4.5（大学生）
抗炎：https://doi.org/10.3390/nu12020424 IF：4.5（男性消防员）
备孕：https://doi.org/10.12688/f1000research.131985.3  IF：1.39（男性）
https://doi.org/10.1007/s12011-020-02251-3 IF：3.6（男性）</t>
  </si>
  <si>
    <t>姜黄素
Ultra Curcumin</t>
  </si>
  <si>
    <t>姜黄素A Pilot Cross-Over Study to Evaluate Human Oral Bioavailability of BCM-95CG (Biocurcumax), A Novel Bioenhanced Preparation of Curcumin.pdf
姜黄素-UC0115804-香港出厂.pdf
姜黄素-UC0115804-第三方含量.pdf
姜黄素-UC0115804-重金属微生物.pdf
00姜黄素-专利简介pdf.pdf
01. 姜黄素-生物利用度US7736679B2.pdf
02. 姜黄素-生物利用度US7879373B2.pdf
03. 姜黄素-生物利用度US8153172B2.pdf
04. 姜黄素-生物利用度US7883728B2.pdf
05. 姜黄素-生物利用度US8197869B2.pdf
06. 姜黄素-生物利用度US8329233B2.pdf
07. 姜黄素-生物利用度US8895087B2.pdf
08. 姜黄素-生物利用度JP5039032.pdf
09. 姜黄素-生物利用度JP5511895.pdf
10. 姜黄素-生物利用度US 8623431.pdf
11. 姜黄素-生物利用度US 8993013.pdf
12. 姜黄素-生物利用度US 9878040.pdf
13. 姜黄素-生物利用度US 9861677.pdf
14姜黄素-精神健康 US 8859020.pdf
15 姜黄素-生物利用度US 9492402.pdf
16-29姜黄素-生物利用度（用于治疗 抑郁症、类风湿性关节 炎、骨关节炎和阿尔茨 海默病）EP2555787.pdf
30-48生物利用度. EP 1890546B1.pdf
49. 姜黄素-生物利用度US 10159654.pdf
50. 姜黄素-生物利用度US10286027.pdf
51.姜黄素-生物利用度US10485843.pdf
52. 姜黄素-生物利用度US10512616.pdf
53. 姜黄素-生物利用度 治疗头颈部癌前病变的方法US10543277.pdf
姜黄素GRAS 认证.pdf
姜黄素FDA认证.pdf
BCM-95 Toxicity study毒理性研究.pdf
BCM-95姜黄-工艺流程图.pdf</t>
  </si>
  <si>
    <t>Supberb BCM-95 专利姜黄素或 xymogen BCM-95专利姜黄素</t>
  </si>
  <si>
    <t>姜黄素是姜黄中的强效抗炎抗氧化成分，但天然形态吸收率极低。
普通膳食摄入很难达到对身体产生显著助益的有效血药浓度。
补充 Ultra 姜黄素就是补充高生物利用度的活性姜黄素。</t>
  </si>
  <si>
    <t xml:space="preserve">1. 姜黄素王 BCM-95® 专利，55 项专利、90 项临床研究，高生物利用度，约为普通姜黄素的 7 倍。
2. 美国 FDA GRAS 权威安全认证，18 年超安全使用记录，在全球 60 国拥有超过 300+ 种配方。
3. 针对炎症反应，关节健康，认知健康，肝脏健康，泌尿健康，乳房健康，情绪和压力支持等。 </t>
  </si>
  <si>
    <t>营养工厂的 BCM-95 ® 姜黄核心成分为姜黄素与姜黄酮的协同混合物（100% 纯姜黄根茎提取），减缓肝脏代谢，使游离姜黄素生物利用度达普通姜黄素的 7 倍，体内存留时间长达 8 小时，关联关节健康维护、炎症反应调节、肝脏保护、认知功能改善、情绪平衡及免疫支持等多重健康益处。
本品含印度 BCM-95® 专利，具有高生物利用度，产品含有100% 纯姜黄，依托 53 项全球专利与 90 + 篇科研文献背书，且获 FDA GRAS 认证，长期使用安全无副作用，符合国际顶尖食品级安全标准。
每日 2 粒即可，每月 78.2 元即可获得与市面250-300 元同类市面同品质的原料配方，兼具专业性与经济性。</t>
  </si>
  <si>
    <t>含量：100% 纯姜黄
原料：印度 BCM-95®
吸收：高生物利用度,为普通姜黄素的 7 倍
肠胃友好：不添加胡椒碱,不刺激肠胃
专利：53 项全球专利
文献：90 + 篇科研文献
认证：美国 FDA GRAS 权威认证
安全： 通过毒理学实验证明无毒性及安全性
体内存留时间：8 小时</t>
  </si>
  <si>
    <t xml:space="preserve">1.生物利用率高：对比普通姜黄素高吸收率和持续时间，使游离姜黄素生物利用度达普通姜黄素的 7 倍，体内存留时间长达 8 小时。
2.研究最多：拥有55项+专利，90项临床研究，是世界上研究最多的姜黄素
3.安全性高：拥有超过 18 年的安全记录，在 60 多个国家/地区拥有 300 多种配方。是唯一一款已发表详细毒性研究的姜黄素（《姜黄素-精油复合物毒性的系统和综合研究：一种生物可吸收的姜黄制剂》，《分子医学报告》13：592-604，2016）。https://pubmed.ncbi.nlm.nih.gov/30006023/ </t>
  </si>
  <si>
    <t>image14.jpeg</t>
  </si>
  <si>
    <t>BCM95 trademark authorization.pdf</t>
  </si>
  <si>
    <t>00姜黄素-专利简介pdf.pdf01. 姜黄素-生物利用度US7736679B2.pdf02. 姜黄素-生物利用度US7879373B2.pdf03. 姜黄素-生物利用度US8153172B2.pdf04. 姜黄素-生物利用度US7883728B2.pdf05. 姜黄素-生物利用度US8197869B2.pdf06. 姜黄素-生物利用度US8329233B2.pdf07. 姜黄素-生物利用度US8895087B2.pdf08. 姜黄素-生物利用度JP5039032.pdf09. 姜黄素-生物利用度JP5511895.pdf10. 姜黄素-生物利用度US 8623431.pdf11. 姜黄素-生物利用度US 8993013.pdf12. 姜黄素-生物利用度US 9878040.pdf13. 姜黄素-生物利用度US 9861677.pdf14姜黄素-精神健康 US 8859020.pdf15 姜黄素-US 9492402.pdf16-29姜黄素-生物利用率 EP2555787.pdf30-48生物利用度. EP 1890546B1.pdf49. 姜黄素-生物利用度US 10159654.pdf50. 姜黄素-生物利用度US10286027.pdf51.姜黄素-生物利用度US10485843.pdf52. 姜黄素-生物利用度US10512616.pdf53. 姜黄素-生物利用度 治疗头颈部癌前病变的方法US10543277.pdf</t>
  </si>
  <si>
    <t>姜黄素GRAS 认证.pdf</t>
  </si>
  <si>
    <t>BCM-95 Toxicity study毒理性研究.pdf</t>
  </si>
  <si>
    <t>1. 2019年印度政府与印度工业联合会 (CII)颁发的国家知识产权奖 (National Intellectual Property Award)
2. 2019 年世界知识产权组织（WIPO）“发明家奖章（Medal for Inventors）”</t>
  </si>
  <si>
    <t>Arjuna Natural 是专注天然植物提取物研发生产的全球领先企业，成立于 1989 年，总部位于印度喀拉拉邦，在印度拥有 KEEZHMAD、EDAYAR 等多个生产基地及美国得克萨斯州销售办公室，核心产品 BCM-95 姜黄提取物获 FDA GRAS、ISO9001:2015 等多项认证，业务覆盖 6 大洲 70 余个国家。
Arjuna Natural 品牌定位与行业地位
行业标杆企业：拥有 30 余年行业积淀，通过 GMP、Sedex SMETA 4-Pillar 等认证，配备 5 个高科技生产单元和专属创新区，40 + 科学家团队支撑从植物化学研究到人体临床试验的全流程研发。
核心技术突破：全球首个利用太阳能生产姜黄的企业，研发的 BCM-95 通过姜黄素与姜黄酮协同作用，使生物利用度达普通姜黄素的 7 倍，获 53 项全球专利，且是少数能穿过血脑屏障的天然成分。
行业认可：年销 BCM-95 超 2 亿剂量，累计服务超 20 亿人次，为 Terry Naturally、FANCL、dōTERRA 等全球知名品牌供应原料；获 Ecovadis 可持续发展良好评级，90 + 项研究（含 45 项人体临床）背书其功效与安全性。
Arjuna Natural官方网址：https://arjunanatural.com/</t>
  </si>
  <si>
    <t>胃部：姜黄素与奥美拉唑对功能性消化不良疗效相当 https://doi.org/10.1136/bmjebm-2022-112231 IF：9.8
血糖：姜黄素补充剂能改善多囊卵巢综合征患者的血糖和雄激素水平 https://doi.org/10.1016/j.phymed.2020.153395 IF：6.7
血脂、抗氧化：姜黄素能改善糖尿病足溃疡患者的代谢指标 https://doi.org/10.1002/ptr.6957 IF：6.1
焦虑、抑郁：姜黄素补充剂可减轻糖尿病周围神经病变患者的抑郁和焦虑 https://doi.org/10.1002/ptr.6571 IF：6.1
抗炎：姜黄素治疗可显著降低炎症因子和 CT 评分 https://doi.org/10.1002/ptr.7844 IF：6.1
肝脏：姜黄素补充可改善非酒精性脂肪肝病患者的肝脏脂肪含量、生化及体质指标 https://doi.org/10.1002/ptr.6620 IF：6.1
关节：姜黄素可显著改善骨关节炎患者的免疫反应和症状 https://doi.org/10.1016/j.intimp.2020.106607 IF：4.8
肝脏、血压：姜黄素可改善超重人群血糖、血脂、肝脏功能及血清皮质醇水平 https://doi.org/10.1007/s00394-019-01916-7 IF：4.1
肌肉：姜黄素可显著增加肌肉质量，改善癌症恶病质 https://doi.org/10.1155/2022/5425619 IF：2.3</t>
  </si>
  <si>
    <t>免疫力：https://www.cell.com/trends/pharmacological-sciences/abstract/S0165-6147(15)00209-6 IF：19.9</t>
  </si>
  <si>
    <t>抗氧：https://doi.org/10.1155/2022/6339715 IF：2.3
抗炎：https://doi.org/10.1155/2022/6339715 IF：2.3
血糖：https://doi.org/10.1016/j.phymed.2020.153395 IF：6.7</t>
  </si>
  <si>
    <t>L-苏糖酸镁
MAGNESIUM  L-THREONATE</t>
  </si>
  <si>
    <t>Life extension 苏糖酸镁</t>
  </si>
  <si>
    <t>苏糖酸镁是唯一能有效穿过血脑屏障进入大脑的镁化合物，普通镁剂难以做到。许多脑力工作者与老年人面临脑镁不足导致的认知下降。补充专利 L-苏糖酸镁就是补充大脑专用的记忆与认知支持。</t>
  </si>
  <si>
    <t>1. L-苏糖酸镁 Magtein® 专利
2. 原料获美国 FDA GRAS 权威安全认证，中国 &amp; 欧盟新食品原料认证，全球 100+ 大牌选用。
3. 可穿越血脑屏障的镁补充剂，舒缓助眠、营养大脑、支持认知与记忆。</t>
  </si>
  <si>
    <t>L - 苏糖酸镁，也被称作 “脑镁”，是脑健康补充剂中的明星成分。它不同于普通镁，能够直达脑部，适配脑力工作者、失眠、脑雾、记忆力不佳人群，以及中老年认知衰退预防需求。
营养工厂采用的正是源自 Magtein® 专利的 L - 苏糖酸镁，该成分由刘国松教授与 MIT 团队联合研发，可高效穿越血脑屏障，实现舒缓助眠、大脑营养、支持记忆与认知的多重功效。
每日 2~3 粒，每月 94.8 元可获得与市面 800-1000 元市面同品质的原料配方，兼具专业性与经济性。</t>
  </si>
  <si>
    <t>专利：L-苏糖酸镁 Magtein®,高效入脑
认证：原料获美国 FDA GRAS 权威安全认证,中国 &amp; 欧盟新食品原料认证
肠胃友好：温和无刺激</t>
  </si>
  <si>
    <t>独家专利，直达脑部：是唯一能有效穿透血脑屏障的镁补充剂，可直接提升大脑神经元内镁离子浓度，精准作用于脑部，适配脑力工作者、失眠、脑雾及认知衰退人群。
权威安全，全球认可：获美国 FDA GRAS 安全认证、中国新食品原料认证及欧洲食品安全局（EFSA）安全评估，全球超 100 家大牌选用，累计销售超 1500 吨，长期食用安全无虞。
临床实证，功效明确：多项临床研究证实，可显著改善大脑脑脊液镁水平、突触密度与可塑性，提升学习记忆力，在老年痴呆、焦虑抑郁、偏头痛、注意力缺陷等方面均有积极影响，人体临床显示可平均改善 “脑龄” 9 年。
吸收高效，肠胃友好：相比普通镁剂（如氧化镁、螯合镁），吸收率与补镁效率更高，直接吸收且肠道无刺激，对胃友好，无传统镁剂的肠胃不适问题。</t>
  </si>
  <si>
    <t>Magtein®  专利L-苏糖酸镁</t>
  </si>
  <si>
    <t>image6.jpeg</t>
  </si>
  <si>
    <t>苏糖酸镁 专利.pdf
苏糖酸镁专利全文.pdf</t>
  </si>
  <si>
    <t>D-阿洛酮糖等5种新食品原料.pdf
L-苏糖酸镁 美国安全认证.pdf
L-苏糖酸镁 欧盟安全认证.pdf</t>
  </si>
  <si>
    <t>Magtein®L-苏糖酸镁原料获奖情况.doc</t>
  </si>
  <si>
    <t>无锡脑镁素生物医药科技有限公司是一家专注于脑健康领域的中美合资创新型生物医药企业。公司由全球顶尖神经科学家刘国松教授领衔创立，并深度协同美国 Neurocentria, Inc.（原 Magceutics, Inc.）的技术资源，在华设立了中国总部。
公司核心资产为刘国松教授自主研发、拥有全球专利保护的新型镁化合物——Magtein® L-苏糖酸镁。该成分是目前科学界公认唯一能高效突破血脑屏障、特异性提升脑内镁含量并增强突触密度与可塑性的镁化合物，其功效已获《Nature》子刊（https://www.nature.com/articles/s41467-024-47571-3）等国际顶级学术期刊及多项临床研究证实。
此外 Magtein® 现拥有 9 项临床试验及 20 项科研专利支撑，原料获中、美、欧三地权威机构认证。它从根本上解决了传统镁补充剂"难入脑"的技术瓶颈，赋能客户实现认知增强、记忆优化、睡眠改善及抗脑衰老等多元功效定位，填补了全球高端脑营养原料的市场空白。</t>
  </si>
  <si>
    <t>神经：苏糖酸镁盐可增强癌痛患者阿片类药物镇痛效果并降低剂量 https://doi.org/10.1002/cam4.4922 IF：6.9
认知：苏糖酸镁显著改善健康成年人认知功能 https://doi.org/10.3390/nu14245235 IF：5.8
焦虑：苏糖酸镁显著改善焦虑恐惧，提升生活质量 https://www.researchgate.net/publication/360017566_A_Randomized_Double-Blind_Placebo-Controlled_Comparator_Trial_Evaluating_MagteinR_Magnesium_Supplement_on_Quality_of_Life_as_Related_to_Levels_of_Stress_Anxiety_Fear_and_Other_Indicators IF：2.6
睡眠：苏糖酸镁能显著改善睡眠质量、日间功能和情绪状态 https://doi.org/10.1016/j.sleepx.2024.100121 IF：2.4</t>
  </si>
  <si>
    <t>认知：https://x.sci-hub.org.cn/target?link=https://www.cell.com/neuron/fulltext/S0896-6273(09)01044-7?ref=zadbajoswojezdrowie.com IF；15</t>
  </si>
  <si>
    <t>睡眠：https://pmc.ncbi.nlm.nih.gov/articles/PMC3703169/ IF：1.5</t>
  </si>
  <si>
    <t>奶蓟草护肝胶囊
LIVER DETOX</t>
  </si>
  <si>
    <t>优思益 6 合 1 护眼丸</t>
  </si>
  <si>
    <t>水飞蓟素是奶蓟草中的活性护肝成分，能稳定肝细胞膜。
频繁应酬、熬夜与环境毒素让许多人的肝脏解毒负担过重。
补充奶蓟草胶囊就是补充标准化的肝脏保护因子。</t>
  </si>
  <si>
    <t>1. 四重植萃，70 倍浓缩奶蓟草精华
2. 高纯度水飞蓟宾 + 姜黄素，守护肝脏健康
3. 特别添加胆碱，助力脂质代谢，商务应酬人群适用</t>
  </si>
  <si>
    <t>奶蓟草，又名水飞蓟是一种常见的草本植物，含有丰富的活性成分，如黄酮类化合物、多糖、苦味素等，这些成分赋予了奶蓟草多种药理活性。
营养工厂的奶蓟草护肝胶囊采取 4 重植萃，70 倍浓缩奶蓟草精华，使用高纯度水飞蓟宾 + 姜黄提取物守护肝脏健康，特别添加胆碱助力脂质代谢。每 2 粒含有水飞蓟提取物 525mg（水飞蓟宾 420mg）、朝鲜蓟提取物 40mg（原料提取比例 10:1）、甘草提取物 20mg、姜黄提取物 75mg、胆碱 100mg。可以实现改善非酒精性脂肪性肝病、减轻炎症症状、改善血糖状况等多种健康益处。
每日 2 粒，每月 58.2 元即可获得与市面 120-200 元市面同品质的原料配方，兼具专业性与经济性。</t>
  </si>
  <si>
    <t>配方：牛津科学家指导配方
含量：水飞蓟提取物 525mg（水飞蓟宾 420mg）、朝鲜蓟提取物 40mg（原料提取比例 10:1）、甘草提取物 20mg、姜黄提取物 75mg、胆碱 100mg
纯度： 80% 高纯度
配方：特别添加胆碱助力脂质代谢
剂型：胶囊（迅速溶解、方便释放、剂量精确、容易吞咽）</t>
  </si>
  <si>
    <t>待确认原料商</t>
  </si>
  <si>
    <t>抗氧：乳蓟素治疗可降低肝硬化糖尿病患者胰岛素抵抗和脂质过氧化 https://doi.org/10.1016/S0168-8278(97)80255-3 IF：33
肝脏：本研究发现，水飞蓟素能显著改善非酒精性脂肪性肝炎患者的肝纤维化，但对 NAS 评分影响不大  https://pubmed.ncbi.nlm.nih.gov/28419855/ IF：12
血糖：BerberolR⃝ 可降低血脂且改善糖代谢 https://doi.org/10.1016/j.phymed.2014.11.018  IF：8.3
女性健康：Silybum marianum 提取物可显著减轻绝经期潮热频率和严重程度  https://doi.org/10.1002/ptr.6789 IF：6.3
抗炎：本研究显示每日口服 420 毫克乳蓟素可减轻头颈部癌症患者放射治疗引起的口腔黏膜炎的严重程度并延迟其发生 IF：6.3
血脂：Berberis aristata 和 Silybum marianum 联合使用可改善血脂谱 https://doi.org/10.1016/j.atherosclerosis.2014.12.043 IF：5.7
血液：水飞蓟素可改善丙肝患者的血液、肝脏和性激素指标，减轻 SOF/RBV 的不良影响 https://doi.org/10.1155/2022/9199190 IF：4.8
抗炎：乳蓟素能显著降低子宫内膜异位症相关症状 https://doi.org/10.1038/s41598-022-22073-8 IF：4.6
减脂/减脂：新营养补充剂改善肥胖相关代谢和内分泌指标 https://doi.org/10.3389/fendo.2022.1089938 IF：4.6
肠道：巴西双盲试验显示营养补充剂重塑肠道菌群，改善代谢和生活质量 https://www.nature.com/articles/s41598-024-61909-3 IF：3.9
肾脏：水飞蓟素可预防万古霉素肾毒性，降低 AKI 发生率 https://doi.org/10.1007/s00210-024-03372-5 IF：2.6
抗病毒：水飞蓟素胶囊联合替诺福韦能改善肝功能、抗病毒、减轻氧化应激 https://kns.cnki.net/kcms2/article/abstract?v=Ut-mckhA-RufpYwj5Xmwq2D2h8El1PDpsT4huGWmxxEXmz-UCR7uL8VH8dIK1NfZ_SoQXX8VNhp55sXG2HvaMxcVoRSwyR0pnnOp-ID6BV4csFMMWM_vnjVVnl0FI5H4YqHdVd3_Zormr8OWgSpcW2SYsUEZwrgdIQqF2HwK9Rs=&amp;uniplatform=NZKPT IF：1.98
关节：乳蓟素能显著降低类风湿关节炎患者疾病活动评分 https://pubmed.ncbi.nlm.nih.gov/28601049/ IF：1.2</t>
  </si>
  <si>
    <t>抗氧：https://doi.org/10.1016/S0168-8278(97)80255-3 IF：33
血糖：https://doi.org/10.1016/S0168-8278(97)80255-3 IF：33
肝脏： https://pubmed.ncbi.nlm.nih.gov/28419855/ IF：12</t>
  </si>
  <si>
    <t>女性健康： https://doi.org/10.1002/ptr.6789 IF：6.3
抗炎：https://doi.org/10.1038/s41598-022-22073-8 IF：4.6
镇痛：https://doi.org/10.1038/s41598-022-22073-8 IF：4.6
肝脏：https://doi.org/10.1177/10781552211006182 IF：0.9</t>
  </si>
  <si>
    <t>肝脏：https://doi.org/10.3389/fphar.2024.1295816 IF：5.6</t>
  </si>
  <si>
    <t>麦角硫因谷胱甘肽
ERGO &amp; GSH COMPLEX</t>
  </si>
  <si>
    <t>麦角硫因与谷胱甘肽是细胞级的核心抗氧化剂，麦角硫因人体无法自行合成。
现代环境的氧化压力导致许多人细胞内的抗氧化储备被过度消耗。
补充该复合物就是补充细胞深层的双重抗衰防御。</t>
  </si>
  <si>
    <t>1. Dr.ERGO®  专利 L-麦角硫因， 99.9% 高纯度 
2. 天然发酵工艺，中科院专利技术
3. 强抗氧化功效，支持皮肤健康</t>
  </si>
  <si>
    <t>营养工厂的麦角硫因来自 Dr.Ergo® 专利麦角硫因采用中科院研发的基于松茸地盘的天然发酵法。每 2 粒含有 30mg 麦角硫因、200mg 谷胱甘肽、4mg PQQ、 50mg 专利鲑鱼 DNA 蛋白、200mg 抗坏血酸、200mg 白番茄提取物。具有促进肌肤保湿抗皱、保护皮肤面晒伤、有效抗衰抗氧化、美白皮肤等多重健康益处。
每日 2 粒，每月 78.2 元即可获得与市面 300-800 元市面同品质的原料配方，兼具专业性与经济性。</t>
  </si>
  <si>
    <t>原料：Dr.Ergo® 专利麦角硫因
成分：EGT + GSH + PQQ + PDRN + VC,院线级配方,协同作用
功效：切断暗沉（脂化维C）、曜白紧塑（麦角硫因）、阻断黄气（谷胱甘肽）、回弹力满格（鲑鱼DNA蛋白）、焕启细胞活力（PQQ）
科研：中国科学院研发提取</t>
  </si>
  <si>
    <t>1. 由中国科学研究院研发，采用基于松茸底盘的天然发酵工艺，纯度高达 99.98%。
2. 获得 GRAS 安全认证，有10+ 发明专利申请，4项临床试验，验证其有效性</t>
  </si>
  <si>
    <t>Dr. ERGO®  专利麦角硫因</t>
  </si>
  <si>
    <t>image8.jpeg</t>
  </si>
  <si>
    <t>商标许可合同 减龄.pdf</t>
  </si>
  <si>
    <t>麦角硫因：一种用于合成麦角硫因的化学-酶偶联方法_发明专利证书.pdf</t>
  </si>
  <si>
    <t>上海麦角硫因生物科技集团有限公司成立于2016年，是一家专注于细胞抗衰老与合成生物制造的专精特新企业。聚焦“从分子到细胞”的健康延长领域，致力于为全球食品、保健及化妆品行业提供高纯度、安全可溯源的天然抗衰活性成分。
依托中国科学院上海有机化学研究所等科研机构的深厚科研基础，公司率先实现了麦角硫因的定向发酵产业化，采用“定向发酵 + 生物催化”双技术路线，实现高纯度、高活性的天然营养制造，突破了传统化学合成和植物提取法在产率、稳定性与环境友好性上的瓶颈，成功构建从基因设计、菌株优化、发酵放大到纯化检测的完整产业链，成为亚洲在“细胞抗衰原料”领域的开创者之一。
旗下核心品牌 Dr. Ergo®以“细胞抗衰的分子标准”著称，产品纯度高达 99.99%，拥有中欧双专利认证、FDA GRAS 与欧盟 Novel Food 认证，并通过日本临床协会的临床试验（RCT）验证安全性与有效性，显著提升皮肤健康与抗氧化能力。Dr. Ergo®的L-型麦角硫因采用七大检测体系（NMR、MS、EA、ICP、HPLC、旋光度与晶型检测）全程质控，确保每一批次产品具备一致性与卓越品质。目前，公司已与多家国内外头部功能食品与护肤品牌建立战略合作，成为全球麦角硫因和其他抗衰原料的供应商之一。此外，多次荣获“荣格创新奖”、“CIC创新原料奖”等奖项，并参与多个市级重点项目：上海市未来产业试验场“揭榜挂帅”、上海市科委合成生物学专项项目——功能食品生物制造及安全性评价等。
https://www.ygingredients.com/</t>
  </si>
  <si>
    <t>认知、神经：补充麦角硫因可改善学习能力，稳定神经损伤标志物水平 http://doi.org/10.1177/13872877241291253 IF：5.2
护肤：食用富含 EGT 的平菇可改善皮肤保湿功能和面部状况 https://doi.org/10.3389/fmed.2024.1396783 IF：3</t>
  </si>
  <si>
    <t>肾脏：https://doi.org/10.1016/j.redox.2023.102801 IF：10.7（动物）
抗氧：https://www.nature.com/articles/cdd2009163 IF：15.4（动物）</t>
  </si>
  <si>
    <t>护肤：https://doi.org/10.3389/fmed.2024.1396783 IF：3</t>
  </si>
  <si>
    <t>维生素 D3K2 钙
VITAMIN D3+K2 WITH CALCIUM</t>
  </si>
  <si>
    <t>升级斯维诗 D3K2钙,配方升级维生素D 从 666IU/日升级到 2000IU/日,维生素 K2 从 60 mcg/日 升级 100mcg/日</t>
  </si>
  <si>
    <t>D3 促进钙吸收，K2 将钙引入骨骼，三者是骨骼健康的必需组合。
全球大部分人群由于日晒不足和饮食结构，普遍缺乏维生素 D 与 K2。
补充 D3K2 钙就是补充能真正进入骨骼的有效钙质。</t>
  </si>
  <si>
    <t>1. 100% 柠檬酸钙，好吸收不伤胃
2. 搭配 D3+K2，补钙黄金三角，进阶配方促钙吸收
3. 应用“超小粒子”生产技术，小粒易吞服</t>
  </si>
  <si>
    <t>钙是构成骨骼和牙齿的元素，参与调节多种激素和神经递质的释放。钙缺乏会出现骨质软化、骨质疏松等症状。维生素 D3 在人体内的主要功能是帮助钙和磷的吸收，维生素 K2 在体内的主要作用之一是激活钙结合蛋白质，这些蛋白质负责将钙从血液输送到骨骼。
营养工厂的 D3K2 钙采用易吸收的柠檬酸钙形式，辅以维生素 D3 促进钙吸收入血，再加上维生素 K2 将血液中的钙引入骨骼，防止在别处沉积。每 4 粒含有有机柠檬酸钙 666.66mg、维生素 D3 50mcg（2000IU）、维生素 K2 100mcg。可以实现促进骨骼健康、增强免疫功能、改善心脏健康、调节睡眠节律的潜力、改善及预防抑郁的健康益处。
每日 4 粒，每月 58.2 元即可获得与市面 90-200 元市面同品质的原料配方，兼具专业性与经济性。</t>
  </si>
  <si>
    <t>含量：有机柠檬酸钙 666.66mg、维生素 D3 50mcg（2000IU）、维生素 K2 100mcg
形式：柠檬酸钙（好吸收）+ 维生素k2（Mk-7）（生物活性）</t>
  </si>
  <si>
    <t>香港莱特维健药厂有限公司：FDA、HACCP、GMP、ISO 22000
澳美（香港）健康产品有限公司：FDA、HACCP、GMP、ISO 22000
COSMAXNBT, Inc.：FDA、HACCP、GMP、FSSC 22000
备注：需确定批次后才能确定生产工厂</t>
  </si>
  <si>
    <t>备孕：高剂量和低剂量钙补充剂对预防子痫前期都有效 https://pmc.ncbi.nlm.nih.gov/articles/PMC10921922/#ABS1 IF：84.9
肌肉：维生素 K2 显著减少夜间腿部抽筋的频率、强度和持续时间 IF：22.3
骨骼：孕期补充钙可改善产后 12 月内骨密度恢复 https://pmc.ncbi.nlm.nih.gov/articles/PMC6900564/ IF：7.1
发育：高剂量维生素 D3 显著改善严重急性营养不良儿童体重和发育指标 https://pubmed.ncbi.nlm.nih.gov/29722846/ IF：7.1
血糖：维生素 D 补充改善胰岛β细胞功能 https://pubs.acs.org/doi/10.1021/acs.jafc.2c05469 IF：6.4
女性健康：维生素 D3 治疗可改善多囊卵巢综合征患者的卵巢功能和月经周期 https://pmc.ncbi.nlm.nih.gov/articles/PMC11990587/ IF：6
抑郁：维生素 D3 补充显著降低农村青少年抑郁评分 https://pmc.ncbi.nlm.nih.gov/articles/PMC11206973/ IF：6
吸收（非功能）：口服维生素 D3 补充剂能显著提高纯母乳喂养新生儿 4 个月时的 25(OH)D 浓度 https://pmc.ncbi.nlm.nih.gov/articles/PMC9306990/ IF：5.9
神经：高剂量维生素 D3 补充剂能更有效地减轻儿童慢性抽动障碍的抽动严重程度 https://pmc.ncbi.nlm.nih.gov/articles/PMC11912708/ IF：4.9
减脂：维生素 K2（MK-7）补充可改善脂肪分布，降低腹部脂肪 https://www.nature.com/articles/ejcn2017146 IF：4.1
血管：维生素 K2 和原维生素 D 补充可显著降低儿童血液透析患者的血管钙化标志物水平 https://www.nature.com/articles/s41430-021-01050-w IF：4.1
性生活、抗氧：维生素 D3 补充可改善精子活力和氧化应激指标 https://link.springer.com/article/10.1007/s43032-021-00769-y IF：2.8
抗炎、肠道：维生素 D3 补充可改善 IBS-D 症状及降低 IL-6 水平 https://pubmed.ncbi.nlm.nih.gov/32203968/ IF：1.4</t>
  </si>
  <si>
    <t>骨骼：https://www.nature.com/articles/276517a0 IF：48.5
肌肉：https://pmc.ncbi.nlm.nih.gov/articles/PMC11581596/ IF：22.3
备孕：https://pmc.ncbi.nlm.nih.gov/articles/PMC10921922/#ABS1 IF：84.9</t>
  </si>
  <si>
    <t>肌肉：https://pmc.ncbi.nlm.nih.gov/articles/PMC7566440/#s1 IF：4.8
肌肉：https://pmc.ncbi.nlm.nih.gov/articles/PMC11581596/ IF：22.3</t>
  </si>
  <si>
    <t>备孕：https://pmc.ncbi.nlm.nih.gov/articles/PMC11990587/ IF：6
备孕：https://pmc.ncbi.nlm.nih.gov/articles/PMC10921922/#ABS1 IF：84.9
备孕：https://pmc.ncbi.nlm.nih.gov/articles/PMC6900564/ IF：7.1
女性健康：https://pmc.ncbi.nlm.nih.gov/articles/PMC11990587/ IF：6
骨骼：https://link.springer.com/article/10.1007/s00223-018-0481-6 IF：3.9
骨骼：https://pmc.ncbi.nlm.nih.gov/articles/PMC6900564/ IF：7.1
骨骼：https://obgyn.onlinelibrary.wiley.com/doi/10.1111/j.1447-0756.2006.00386.x IF：1.6
吸收（非功能）：https://www.sciencedirect.com/science/article/pii/S0960076016300073?via%3Dihub#sec0035 IF：3.2
抑郁：https://pmc.ncbi.nlm.nih.gov/articles/PMC9316322/ IF：3.2</t>
  </si>
  <si>
    <t>发育：https://pubmed.ncbi.nlm.nih.gov/29722846/ IF：7.1
吸收（非功能）：https://pmc.ncbi.nlm.nih.gov/articles/PMC9306990/ IF；5.9
吸收（非功能）：https://pmc.ncbi.nlm.nih.gov/articles/PMC12125034/#Sec19 IF：2.9
神经：https://pmc.ncbi.nlm.nih.gov/articles/PMC11912708/ IF：4.9
血管：https://www.nature.com/articles/s41430-021-01050-w IF：4.1</t>
  </si>
  <si>
    <t>叶黄素
LUTEIN EYE HEALTH+</t>
  </si>
  <si>
    <t>Kemin _ FLORAGLO® LUTEIN SO MUCH MORE THAN AN ‘EYE VITAMIN’.pdf
专利 商标 临床.PNG
FloraGLO Lutein Supporting Eye and Brain Health for Mom and Baby.pdf</t>
  </si>
  <si>
    <t>叶黄素是视网膜黄斑区的核心色素，人体完全无法自行合成。
现代人过度使用电子屏幕，极大地消耗了眼部的叶黄素储备。
补充叶黄素就是补充抵御蓝光伤害的眼部屏障。</t>
  </si>
  <si>
    <t>1. 美国 FloraGLO®，专利天然游离形叶黄素，100+项人体临床试验验证，最多美国专科医生与专家的推荐的叶黄素原料，树立叶黄素补充剂原料行业标准。
2. 6 合 1 多维配方，减少蓝光伤害、缓解眼睛疲劳，多效协同
3. 叶黄素玉米黄质 5:1 黄金配比</t>
  </si>
  <si>
    <t>叶黄素与另一种叶黄素玉米黄质一起存在于眼睛的视网膜中。因为这些类胡萝卜素集中在眼睛后部，它们被称为黄斑色素，对眼睛健康有益。
营养工厂的叶黄素采用美国 FloraGLO®专利天然游离形叶黄素，有 100+ 项人体临床试验验证。此外还以叶黄素玉米黄质 5:1 黄金配比添加玉米黄质呵护眼睛。更辅以6 合 1 多维配方，减少蓝光伤害、缓解眼睛疲劳，多效协同。每 2 粒含有 FloraGLO® 叶黄素 10mg、玉米黄质 2mg、欧洲蓝莓越橘提取物 10mcg（花青素 25mg）、葡萄籽提取物 100mg（相当于葡萄籽 12g）、小米草提取物 50mg（相当于小米草 200mg）、维生素 C 100mg。可以实现吸收蓝光、抗氧化、改善白内障、改善老年黄斑病变 、呵护心脏健康等多种健康益处。
每日 2 粒，每月 68.2 元即可获得与市面 200-250 元市面同品质的原料配方，兼具专业性与经济性。</t>
  </si>
  <si>
    <t>原料：Flora GLO® 专利叶黄素
配比：叶黄素玉米黄质 5:1 黄金配比
专利：蓝光防护专利
含量：FloraGLO® 叶黄素 10mg、玉米黄质 2mg、欧洲蓝莓越橘提取物 10mcg（花青素 25mg）、葡萄籽提取物 100mg（相当于葡萄籽 12g）、小米草提取物 50mg（相当于小米草 200mg）、维生素 C 100mg</t>
  </si>
  <si>
    <t>1. 蓝光/种子双重专利：拥有美国和中国蓝光防护与眼疾治疗专利以及膳食型玉米黄质种子专利。FloraGLO®可以通过吸收蓝光、抗氧化、降低光线敏感度来保护眼部健康，通过改良制剂可以提高生物利用度及使用效果。从万寿菊种子培育开始，全链路可追溯，保障原料品质。
2. 30 年开发经验，100+ 篇临床研究
3. 黄金配比：3. FloraGLO®与玉米黄素5:1比例搭配对眼部健康保护效果更为显著，且其与维生素C或维生素E合用显示更优秀的抗氧化能力。</t>
  </si>
  <si>
    <t>Flora GLO® 专利叶黄素</t>
  </si>
  <si>
    <t>image15.jpeg</t>
  </si>
  <si>
    <t>2025CT00554 TLA FloraGLO Uda (Trading) Limited.pdf</t>
  </si>
  <si>
    <t>US9226940B2-蓝光专利.pdf（叶黄素防蓝光专利）
EP1471898B1.pdf（叶黄素防眩光专利，已过期）</t>
  </si>
  <si>
    <t>GRN 000221.pdf
GRN 000390.pdf
FloraGLO® 叶黄素获得 FDA 公认安全（GRAS）的认证，也是唯一获得足月出生婴儿配方食品的 GRAS 认证以及早产婴儿配方食品的 GRAS 认证的叶黄素品牌。</t>
  </si>
  <si>
    <t>2006.01 EFSA Opinion of Lutein for use in particular nutritional uses.pdf</t>
  </si>
  <si>
    <t>与原料商沟通获取中</t>
  </si>
  <si>
    <t>帝斯曼专利介绍网站
建明的事业以六大业务板块为主，其中包括动物营养与健康、人类营养与健康、宠物营养与健康、水产科技、人类食品科技、纺织技术等。为120多个国家和地区的客户提供创新的产品和服务。今天，建明在全球拥有10个研发中心和15个生产基地。主要国家和地区包括：美国、比利时、意大利、圣马力诺、新加坡、中国、印度、巴西、南非、俄罗斯等。
FloraGLO® 叶黄素是一种天然来源的非酯化叶黄素，以其质量、安全性和功效而闻名。它是首个面向全球推出的叶黄素品牌，并自此成为叶黄素补充剂的行业标杆。FloraGLO® 叶黄素采用精细的提取工艺，从万寿菊中提取，有效弥补了因水果和蔬菜摄入量不足而造成的膳食缺口。经过超过100项人体临床试验验证，是研究最深入的品牌，有超过25年的安全可靠证明，拥有过滤蓝光的专利支持，可安全用于婴儿配方奶粉中。
https://www.kemin.com/na/en-us/markets/human-nutrition/products/carotenoids/floraglo-lutein</t>
  </si>
  <si>
    <t>护眼：叶黄素/玉米黄质替代 β-胡萝卜素可降低晚期 AMD 风险且无肺癌风险 https://pmc.ncbi.nlm.nih.gov/articles/PMC9164119/ IF：8.2
记忆力：24 个月补充 ω-3 脂肪酸、黄烷醇类类胡萝卜素和维生素E可改善老年人大脑工作记忆 https://pubmed.ncbi.nlm.nih.gov/34999335/ IF：6.3
神经：摄入含有虾青素、叶黄素和玉米黄质的补充剂可改善因视觉显示终端操作受损的眼手协调功能 https://pubmed.ncbi.nlm.nih.gov/36986186/ IF：4.8
备孕：孕期补充叶黄素和玉米黄质可显著增加母体和新生儿体内类胡萝卜素水平，改善视觉发育 https://www.ophthalmologyscience.org/article/S2666-9145(24)00073-3/fulltext IF：4.6
认知：补充叶黄素和玉米黄质可改善儿童动态视觉和认知表现 https://pmc.ncbi.nlm.nih.gov/articles/PMC10960892/ IF：4
抗炎、抗氧、心血管：叶黄素、玉米黄质和中性玉米黄质补充可减轻炎症标志物和氧化心血管过程 https://pubmed.ncbi.nlm.nih.gov/38890092/ IF：3.7</t>
  </si>
  <si>
    <t>记忆力：https://pubmed.ncbi.nlm.nih.gov/34999335/ IF：6.3</t>
  </si>
  <si>
    <t>护眼：https://www.ophthalmologyscience.org/article/S2666-9145(24)00073-3/fulltext IF：4.6
备孕：https://www.ophthalmologyscience.org/article/S2666-9145(24)00073-3/fulltext IF：4.6</t>
  </si>
  <si>
    <t>护眼：https://pmc.ncbi.nlm.nih.gov/articles/PMC10960892/ IF：4
认知：https://pmc.ncbi.nlm.nih.gov/articles/PMC10960892/ IF：4</t>
  </si>
  <si>
    <t>亚精胺
SPERMIDINE</t>
  </si>
  <si>
    <t>专利亚精胺音芙医药.pdf</t>
  </si>
  <si>
    <t>亚精胺是启动细胞自噬（细胞自我清洁）的关键分子，但体内浓度随年龄增长而减少。
富含亚精胺的食物来源有限，很多人难以通过饮食摄入足量。
补充亚精胺就是补充激活细胞年轻化的信号分子。</t>
  </si>
  <si>
    <t>1. SuperMide™ 专有技术 50 倍提效，亚精胺含量 ≥ 54%
2. 亚精胺三盐酸盐纯度 ≥ 98%
3. 权威机构检测多项认证，安全保障</t>
  </si>
  <si>
    <t>营养工厂的亚精胺来自 SuperMide™ 专有技术，亚精胺含量 ≥ 54%，每 2 粒含有 SuperMide™亚精胺 HCL 10mg。可以实现改善阿兹海默症的认知能力、提高肿瘤免疫力、增强记忆力、延缓心力衰竭、改善胰岛素抵抗、促生发防脱发等多种健康益处。
每日 2 粒，每月 68.2 元即可获得与市面 300-800 元市面同品质的原料配方，兼具专业性与经济性。</t>
  </si>
  <si>
    <t>技术：SuperMide™ 专有技术 50 倍提效
含量：≥ 54%
纯度：≥ 98%
绿色：无过敏原,无麸质</t>
  </si>
  <si>
    <t>1.  100% 纯亚精胺三盐酸盐，绿色合成工艺，非转基因，不含任何过敏原，无麸质。
2. 良好的应用性：相比仅含1%亚精胺的小麦胚芽提取物原料，SuperMide™ 中亚精胺含量是其50倍之多。
3. 纯度高：采用 Effepharm 独有的生产工艺，实现了纯白色优质外观，解决了市场上大多数亚精胺因纯度不足导致成品为米色或米白色的问题</t>
  </si>
  <si>
    <t>SuperMide™ 专利亚精胺</t>
  </si>
  <si>
    <t>image12.jpeg</t>
  </si>
  <si>
    <t>TMLA UDA.pdf</t>
  </si>
  <si>
    <t>US20230148258A1.pdf
WO2005013932A1.pdf
WO2022043515A1.pdf</t>
  </si>
  <si>
    <t>原料无相关认证</t>
  </si>
  <si>
    <t>aging-10-101354.pdf
Comp Rev Food Sci Food Safe - 2022 - Zou - A comprehensive review of spermidine  Safety  health effects  absorption and.pdf</t>
  </si>
  <si>
    <t>音芙医药是一家致力于为消费者带来有科学依据的健康功效成分的生物技术公司。公司不断发现市场空缺，满足生命健康需求。
作为多个单原料品类的专家，公司拥有着引领行业潮流产品迭代与资源整合能力，业务的创新能力横跨健康抗老，人类营养、个人护理等多领域，Effe-PLUS增效平台提供先进的保健品技术方案。我们致力于为客户创造有价值的品牌, 为消费者创造安全的、高效的、可持续的产品。
其SuperMide™ 专利亚精胺具有高含量、高纯度的特性，其亚精胺三盐酸盐纯度和含量均 ≥99%。为纯白色粉末，无明显气味。
100%无过敏原：绿色合成工艺，非转基因，不含任何过敏原，无麸质。相比仅含1%亚精胺的小麦胚芽提取物原料，SuperMide™ 中亚精胺含量是其 50 倍之多。客户可以用更小的胶囊灌装，极大提升终端产品的便携性和消费者服用体验。
https://www.effepharm.cn/</t>
  </si>
  <si>
    <t>精力、抗氧：含有亚精胺的混合物可显著改善 PAD 患者的最大步行距离，减轻氧化应激 https://doi.org/10.3390/antiox11091836 IF：6
安全性（非功能）：40 mg/天的高纯度精胺补充剂对健康老年男性安全且耐受性良好 https://doi.org/10.1016/j.nutres.2024.09.012 IF：3.4
记忆力、认知：补充亚精胺可改善主观认知下降老年人的记忆表现
https://doi.org/10.1016/j.cortex.2018.09.014 IF:3.3
护发：亚精胺营养补充剂可延长人类毛囊生长期 https://pmc.ncbi.nlm.nih.gov/articles/PMC5718121/ IF：2.3</t>
  </si>
  <si>
    <t>抗衰：https://www.nature.com/articles/nm.4222 IF：50
心血管：https://www.nature.com/articles/nm.4222 IF：50
免疫力：https://doi.org/10.1016/j.tcb.2023.08.002 IF：18.1
肌肉：https://doi.org/10.1080/15548627.2023.2241125 IF：14.6</t>
  </si>
  <si>
    <t>安全性（非功能）：https://doi.org/10.1016/j.nutres.2024.09.012 IF：3.4
认知：https://doi.org/10.1007/s00508-020-01758-y IF：1.9
https://doi.org/10.1016/j.cortex.2018.09.014 IF:3.3
记忆力：
https://doi.org/10.1016/j.cortex.2018.09.014 IF:3.3</t>
  </si>
  <si>
    <t>护发：https://pmc.ncbi.nlm.nih.gov/articles/PMC5718121/ IF：2.3</t>
  </si>
  <si>
    <t>护发：https://pmc.ncbi.nlm.nih.gov/articles/PMC5718121/ IF：2.3（男性）</t>
  </si>
  <si>
    <t>三甲基甘氨酸
TMG</t>
  </si>
  <si>
    <t>TMG 是关键的甲基供体，对维持正常的基因表达与降低同型半胱氨酸至关重要。
约 40% 的人群由于遗传或饮食原因存在甲基化代谢不足。
补充 TMG 就是补充全身生化反应必需的甲基供体。</t>
  </si>
  <si>
    <t>1. 高效甲基供体，支持心血管与肝脏健康
2. NMN 好伴侣， 助力能量代谢
3. 维持健康的同型半胱氨酸水平</t>
  </si>
  <si>
    <t>甜菜碱，又为三甲基甘氨酸（TMG），是我们身体可以自然产生的一种化合物，广泛在甜菜中找到。它是人体内甲基供体，促进体内甲基化反应。甲基化反应是指在 DNA、蛋白质、脂质等分子上添加甲基基团的过程，这对调节基因表达、蛋白质功能和代谢过程至关重要。
营养工厂的 TMG 每粒含 TMG 500mg，可以实现改善心理健康、维护心血管健康、促进肝脏健康等多种作用。
每日 1 粒，每月 34.1 元即可获得与市面 150-250 元市面同品质的原料配方，兼具专业性与经济性。</t>
  </si>
  <si>
    <t>含量：每粒含 TMG 500mg</t>
  </si>
  <si>
    <t xml:space="preserve">肝脏：甜菜碱可改善肝脂肪变性 https://doi.org/10.1002/hep.23239 IF：15.8
心血管：补充甜菜碱可降低人体血浆同型半胱氨酸浓度，不影响体重、体成分或静息能量消耗 https://ajcn.nutrition.org/article/S0002-9165(23)06002-1/fulltext IF：6.9
代谢：补充甜菜碱可显著降低同型半胱氨酸，减轻饮酒不良影响 https://pmc.ncbi.nlm.nih.gov/articles/PMC4728648/ IF：6.9
肌肉：补充甜菜碱在增加下肢力量方面有一定支持作用 https://doi.org/10.3390/nu12061688 IF：5
减脂/减脂：增加饮食中的胆碱或甜菜碱摄入与改善心血管代谢指标相关。https://doi.org/10.1093/ajcn/nqac255 IF；4.3
精力：甜菜碱可以辅助减脂 https://doi.org/10.1186/s12970-018-0243-x IF：3.9
免疫力：补充甜菜碱可以调节免疫反应。https://doi.org/10.1186/s12970-021-00441-5 IF：3.9
女性健康：含有乳香酸、甜菜碱和肌醇的组合疗法能显著降低乳腺密度 https://www.europeanreview.org/article/9866 IF：3.3
抗炎：含橄榄油、木糖醇和甜菜碱牙膏显著改善牙龈炎症状 https://doi.org/10.1038/s41598-023-33521-4 IF：3.2
认知、记忆力：甜菜碱干预可以恢复阿尔茨海默病患者的血浆同型半胱氨酸水平，并可能对阿尔茨海默病患者产生保护作用https://doi.org/10.1002/jcla.22090 IF：2.9
抑郁：补充甜菜碱可增强 SAMe 对轻中度抑郁患者的抗抑郁效果 https://doi.org/10.2147/JMDH.S77766 IF：2.4 </t>
  </si>
  <si>
    <t>肝脏：https://doi.org/10.1002/hep.23239 IF：15.8</t>
  </si>
  <si>
    <t>女性健康：https://www.europeanreview.org/article/9866 IF：3.3
https://www.europeanreview.org/article/10760 IF：3.3
精力：https://doi.org/10.1186/s12970-018-0243-x IF：3.9
https://doi.org/10.1080/19390211.2021.1973644 IF：2.3
心血管：https://doi.org/10.1371/journal.pmed.1002870 IF：9.9</t>
  </si>
  <si>
    <t>精力：https://doi.org/10.1080/15502783.2023.2231411 IF：3.5（男性）
https://doi.org/10.1080/15502783.2022.2041988 IF：3（青少年男性）
代谢：https://pmc.ncbi.nlm.nih.gov/articles/PMC4728648/ IF：6（中年男性）
肌肉：https://doi.org/10.3390/nu14235040 IF：5
精力：https://doi.org/10.1080/15502783.2023.2231411 IF：3.9</t>
  </si>
  <si>
    <t>PQQ+PS
PQQ &amp; PHOSPHATIDYLSERINE</t>
  </si>
  <si>
    <t>研生之力 PQQ 20mg PS 30mg + Life extension PS 100mg</t>
  </si>
  <si>
    <t>PQQ 与 PS 是脑细胞能量代谢与膜结构的重要成分，人体合成效率随年龄降低。
许多脑力工作者面临记忆力减退与脑疲劳的问题。
补充 PQQ+PS 就是补充大脑线粒体能量与神经修复原料。</t>
  </si>
  <si>
    <t>1.  PQQ，被《Nature》和《Science》两大顶尖学术期刊多次报道的抗氧化物质，支持线粒体功能，促进细胞能量代谢
2. PS，改善神经元通讯，支持大脑神经传递，促进大脑健康，有助改善记忆力与专注力
3. 双重营养协同作用，助力精力管理</t>
  </si>
  <si>
    <t>PQQ是被《Nature》和《Science》两大顶尖学术期刊多次报道的抗氧化物质，支持线粒体功能，促进细胞能量代谢。PS具有改善神经元通讯，支持大脑神经传递，促进大脑健康，有助改善记忆力与专注力。
营养工厂的 PQQ+PS 采取高纯度纯净配方，每 2 粒含有 PQQ 20mg、PS 100mg，可以实现增加线粒体数量、改善大脑认知功能、提升免疫力、改善睡眠、缓解疲劳等多种健康益处。
每日 2 粒，每月 88.2 元即可获得与市面 350-700 元市面同品质的原料配方，兼具专业性与经济性。</t>
  </si>
  <si>
    <t>含量：PQQ 20mg、PS 100mg
专利：PureQQ®</t>
  </si>
  <si>
    <t>12 周动物实证，靶向守护血管健康：针对动脉粥样硬化模型，每日按 0.5-1.0mg/kg 剂量给药 12 周，显著降低主动脉胆固醇含量，减小粥样硬化斑块面积。
专利新型结晶技术：独家制备 PQQ 二钠盐结晶，相比传统结晶，吸湿性大幅降低，解决吸潮易变质行业痛点，兼顾原料高稳定性与生理活性双重优势</t>
  </si>
  <si>
    <t>PureQQ® 专利 PQQ</t>
  </si>
  <si>
    <t>image21.jpeg</t>
  </si>
  <si>
    <t>img005.pdf</t>
  </si>
  <si>
    <t>專利_3.ZL200910199005.0吡咯并喹啉醌在治疗和预防动脉硬化中的应用.pdf（已授权）
專利_7.ZL201210452297.6吡咯并喹啉醌的二钠盐结晶.pdf（已授权）
專利_PQQ日本.pdf（未授权不可发给用户）
HKSAR專利文件1-1.jpg（未授权不可发给用户）
HKSAR專利文件1-2.jpg（未授权不可发给用户）</t>
  </si>
  <si>
    <t>　磷脂酰丝氨酸（PS）于 2010 年被原中国卫生部批准为新资源食品（2010年第15号公告）</t>
  </si>
  <si>
    <t>诸城浩天药业有限公司 是一家专注于天然植物原料和功能性营养成分研发与供应的国际企业。从1999年成立至今，它已经从一个肌醇生产起步的厂商，发展成为全球营养与功能原料行业的重要参与者之一。公司业务覆盖全球80多个国家与地区，拥有世界级的研发中心与配方支持团队，能够为食品、饮料、保健品与医药等领域提供定制化原料与技术解决方案。
PureQQ® 是浩天药业旗下高纯度*吡咯喹啉醌（PQQ）原料品牌，具备优秀稳定性、低吸湿性与功能性表现，适用于能量代谢与线粒体支持类配方。其部分原料 PQQ 已通过美国 FDA GRAS 级别认可及多地区法规合规注册，便于全球市场开发。
天津华德益宝生命科学研发有限公司（简称“华德益宝”）是由辽宁天华生物药业有限公司在天津设立的食品配料与营养原料供应公司，定位为客户提供高品质、科学验证的食品级健康原料与解决方案。
https://www.pureqq.us/</t>
  </si>
  <si>
    <t>PQQ：
记忆力：PQQ 可显著改善记忆、注意力和认知灵活性 https://doi.org/10.1080/07315724.2021.1962770 IF：6.8
认知：吡咯喹啉醌钠盐可改善 20 至 65 岁成人认知功能 https://doi.org/10.1039/D2FO01515C IF：6.1
肝脏：水飞蓟素、吡咯喹啉醌钠盐和杨梅素可降低体内酒精水平，减轻氧化应激，保护肝脏 https://doi.org/10.3390/nu16172965 IF：4.8
抗氧：水飞蓟素、吡咯喹啉醌钠盐和杨梅素可降低体内酒精水平，减轻氧化应激，保护肝脏 https://doi.org/10.3390/nu16172965 IF：4.8
注意力：吡咯喹啉醌钠盐可显著改善认知功能，提升记忆力、注意力等 https://doi.org/10.1080/07315724.2021.1962770 IF：3.6
代谢：吡咯喹啉醌补充剂能显著提升 PGC-1α蛋白水平 https://doi.org/10.1080/07315724.2019.1705203 IF：2.1
护肤：口服吡咯喹啉醌能改善小鼠和女性受试者干燥皮肤状况 https://doi.org/10.3177/jnsv.61.241 IF：1.1
血脂：吡咯喹啉醌钠盐可降低高 LDL 胆固醇亚组的血清 LDL 胆固醇水平 https://doi.org/10.3177/jnsv.61.233 IF：1.1
PS：
抑郁：磷脂酰丝氨酸和磷脂酸复合物能显著减轻经前综合征症状 https://doi.org/10.1016/j.clnesp.2018.01.067 IF：6.4
精力：大豆磷脂酰丝氨酸补充可提高运动耐力，具有潜在的促运动性能 https://doi.org/10.1249/01.mss.0000183195.10867.d0 IF：5.4
认知：磷脂酰丝氨酸可显著改善健康成年人的认知功能，尤其对老年人效果更佳 https://doi.org/10.3390/nu14245235 IF：4.8
神经：磷脂酰丝氨酸改善青少年认知和反应性依恋障碍症状 https://doi.org/10.1096/fasebj.2021.35.S1.00180 IF：4.4
压力：大豆磷脂复合物 PAS 能缓解慢性应激男性 HPAA 轴的过度反应 https://doi.org/10.1186/1476-511x-13-121 IF：3.4
记忆力：大豆卵磷脂提取的磷脂酰丝氨酸和磷脂酸对老年患者记忆、认知、日常功能和情绪有积极影响 https://doi.org/10.1007/s12325-014-0165-1 IF：3.3
情绪：补充 400mg/d PS 和 100mg/d 咖啡因可减轻运动后疲劳感和情绪困扰 https://doi.org/10.1016/j.nutres.2013.03.009 IF：3
注意力：磷脂酰丝氨酸含欧米茄-3 脂肪酸可改善老年人记忆能力 https://doi.org/10.1159/000357793 IF：2.6</t>
  </si>
  <si>
    <t>认知：https://doi.org/10.1016/j.eng.2023.04.012 IF：10.1
神经：https://doi.org/10.1016/j.eng.2023.04.012 IF：10.1</t>
  </si>
  <si>
    <t>认知：https://doi.org/10.1016/j.jnha.2024.100287 IF：5.1
认知：https://doi.org/10.1016/j.jnha.2024.100287 IF：4.3
认知：https://doi.org/10.1007/s12325-014-0165-1 IF：3.3
认知：https://doi.org/10.1159/000357793 IF：2.6
认知：https://doi.org/10.1007/bf03324139 IF：2.1
认知：https://doi.org/10.1111/j.1600-0404.1986.tb03254.x IF：2
记忆力：https://doi.org/10.1159/000357793 IF：2.6
记忆力：https://doi.org/10.1007/s12325-014-0165-1 IF：3.3
情绪：https://doi.org/10.1007/s12325-014-0165-1 IF：3.3
注意力：https://doi.org/10.1159/000357793 IF：2.6</t>
  </si>
  <si>
    <t>护肤：https://doi.org/10.3177/jnsv.61.241 IF：1.1
神经：https://doi.org/10.1016/j.clnesp.2018.01.067 IF：6.4
抑郁：https://doi.org/10.1016/j.clnesp.2018.01.067 IF：6.4
压力：https://doi.org/10.1016/j.clnesp.2018.01.067 IF：6.4</t>
  </si>
  <si>
    <t>代谢：https://doi.org/10.1080/07315724.2019.1705203 IF：2.1
精力：https://doi.org/10.1249/01.mss.0000183195.10867.d0 IF：5.4</t>
  </si>
  <si>
    <t>锯棕榈番茄红素 Pro 版软胶囊
SAWPAL LYCOPENE PRO COMPLEX
前列腺宝</t>
  </si>
  <si>
    <t>VIKpro 锯棕榈胶囊,特别添加异株荨麻根提取物</t>
  </si>
  <si>
    <t>锯棕榈与番茄红素是维护前列腺健康的黄金组合，但难以通过常规饮食足量获取。
50岁以上男性普遍面临前列腺功能下降的困扰。
补充锯棕榈番茄红素 Pro 就是补充针对男性前列腺的专项养护。</t>
  </si>
  <si>
    <t>1. 临床试验筛选的科学配方，4 合 1 配方协同作用，系统呵护男性健康
2. 辅助解决脱发与前列腺双重困扰
3. 拒绝概念性添加，采用临床研究支持的起效剂量</t>
  </si>
  <si>
    <t>锯棕榈具有 140 年调养前列腺病历史，可以有效抑制抑制 5α -还原酶改善雄激素性脱发和男性泌尿问题。番茄红素是一种天然存在于番茄、西瓜、粉红葡萄柚等红色水果和蔬菜中的类胡萝卜素。具有强大的抗氧化能力，能够中和体内的自由基，减少氧化应激对细胞的损害。
营养工厂的锯棕榈番茄红素采取高浓度纯净配方，每粒含有锯棕榈提取物 320mg、番茄红素 5mg、南瓜籽油 220mg、异株荨麻根提取物 50mg。可以实现改善前列腺增生及下尿路症状、改善脱发、改善少精症、改善夜间排尿频率等健康益处。
每日 1 粒，每月 29.5 元即可获得与市面 150-350 元市面同品质的原料配方，兼具专业性与经济性。</t>
  </si>
  <si>
    <t>配方：四大明星成分（锯棕榈+番茄红素+南瓜籽种子+异株荨麻根） 
含量： 达到人体起效高含量（锯棕榈提取物 320mg、番茄红素 5mg、南瓜籽油 220mg、异株荨麻根提取物 50mg）
配方：临床试验筛选的科学配方</t>
  </si>
  <si>
    <t>抗癌：番茄制品干预可降低中危前列腺癌患者 PSA 值 https://linkinghub.elsevier.com/retrieve/pii/S0261-5614(16)30147-9 IF：6.6
抗氧：富含番茄红素的冰淇淋具有抗氧化和抗炎功效，可改善皮肤健康 https://www.sciencedirect.com/science/article/pii/S0022030218310683?via%3Dihub IF：61.
血脂：番茄红素干预能降低炎症，改善中年超重个体 HDL 功能 https://doi.org/10.1016/j.jnutbio.2012.03.015 IF：6
线粒体：富含番茄红素的番茄酱可保护皮肤免受紫外线损伤 https://doi.org/10.1111/j.1365-2133.2010.10057.x IF：6
备孕：番茄红素补充可改善少弱精子症男性精子参数和氧化应激标志物 https://doi.org/10.1002/ptr.6493 IF：5.1
吸收（非功能）：番茄红素补充可显著提高血浆和前列腺组织中番茄红素水平 https://doi.org/10.1158/1940-6207.capr-10-0288 IF：4.9
女性健康：锯棕榈果提取物可减轻女性下尿路症状 https://pmc.ncbi.nlm.nih.gov/articles/PMC8953103/#abstract1 IF：4.8
口腔：番茄红素和姜黄素对口腔黏膜下纤维化疗效相当 https://doi.org/10.1111/odi.12947 IF：3.7
前列腺：锯棕榈果提取物可缓解日本男性排尿问题，改善生活质量 https://pmc.ncbi.nlm.nih.gov/articles/PMC7455929/ IF：3.5
血脂：南瓜籽油补充可改善绝经后女性 HDL 胆固醇水平，减轻更年期症状 Improvement in HDL cholesterol in postmenopausal women supplemented with pumpkin seed oil: pilot study - PubMed IF：2.9
镇痛：锯棕榈提取物对慢性前列腺炎/慢性盆腔疼痛综合征疗效显著 https://pmc.ncbi.nlm.nih.gov/articles/PMC8510895/#Sec13 IF：2.8
护发：南瓜籽油对女性脱发有潜在治疗作用，效果逊于米诺地尔 Pumpkin seed oil vs. minoxidil 5% topical foam for the treatment of female pattern hair loss: A randomized comparative trial - Ibrahim - 2021 - Journal of Cosmetic Dermatology - Wiley Online Library IF：2.3
心血管：南瓜籽油补充可改善绝经后女性的动脉血流动力学和血压 The effects of pumpkin seed oil supplementation on arterial hemodynamics, stiffness and cardiac autonomic function in postmenopausal women - ScienceDirect IF：2.2
护发：锯棕榈提取物能显著减少雄激素性脱发患者的脱发，促进头发生长 https://pmc.ncbi.nlm.nih.gov/articles/PMC10648974/ IF：1.9
性生活：南瓜籽油缓解 BPH 症状无副作用，但效果不如坦索罗辛 Pumpkin seed oil (Cucurbita pepo) versus tamsulosin for benign prostatic hyperplasia symptom relief: a single-blind randomized clinical trial - PMC IF；1.7</t>
  </si>
  <si>
    <t>血脂：Improvement in HDL cholesterol in postmenopausal women supplemented with pumpkin seed oil: pilot study - PubMed IF：2.9
护发：Pumpkin seed oil vs. minoxidil 5% topical foam for the treatment of female pattern hair loss: A randomized comparative trial - Ibrahim - 2021 - Journal of Cosmetic Dermatology - Wiley Online Library IF：2.3
心血管：The effects of pumpkin seed oil supplementation on arterial hemodynamics, stiffness and cardiac autonomic function in postmenopausal women - ScienceDirect IF；2.2
女性健康：https://pmc.ncbi.nlm.nih.gov/articles/PMC8953103/#abstract1 IF；4.8</t>
  </si>
  <si>
    <t>前列腺：https://pmc.ncbi.nlm.nih.gov/articles/PMC7455929/ IF；3.5
护发：https://www.liebertpub.com/doi/10.1089/acm.2002.8.143?url_ver=Z39.88-2003&amp;rfr_id=ori:rid:crossref.org&amp;rfr_dat=cr_pub%20%200pubmed IF：1.3
抗癌：https://pmc.ncbi.nlm.nih.gov/articles/PMC6491994/#ijc31929-sec-0026 IF：5.7
心血管：https://doi.org/10.1016/j.atherosclerosis.2010.11.036 IF：5.4
性生活：https://doi.org/10.1002/ptr.6493 IF：5.1
吸收（非功能）：https://doi.org/10.1158/1940-6207.capr-10-0288 IF：4.9
备孕：https://pmc.ncbi.nlm.nih.gov/articles/PMC7058571/#Abs1 IF：4.1</t>
  </si>
  <si>
    <t>氨糖软骨素
GLUCOSAMINE &amp; CHONDROITIN+</t>
  </si>
  <si>
    <t>升级 movefree 绿标氨糖软骨素,将氨基葡萄糖硫酸盐替换为植物来源,海鲜过敏者可放心使用</t>
  </si>
  <si>
    <t>氨糖与软骨素是关节软骨的结构基石，但人体合成速度赶不上磨损速度。
30 岁后人体内的氨糖含量逐渐枯竭，导致关节退化。
补充氨糖软骨素就是补充关节修复与润滑必需的原材料。</t>
  </si>
  <si>
    <t>1. 硫酸氨基葡萄糖，温和少刺激，植物提取，海鲜过敏者可使用。
2. 5 合 1 配方，舒缓关节不适，支持关节健康
3. 修护因子：硫酸氨基葡萄糖+硫酸软骨素。润滑因子：透明质酸。舒缓因子：果糖硼酸钙+MSM</t>
  </si>
  <si>
    <t>氨糖软骨素由氨基葡萄糖和硫酸软骨素组成。氨糖是人体关节软骨基质中合成蛋白质聚糖所必需的成分，可以改善关节软骨的代谢，提高关节软骨的修复能力，同时缓解骨关节炎的疼痛症状。硫酸软骨素是关节滑液的重要成分之一，滑液存在于关节腔中，正是因为有滑液的润滑，关节才能保持灵活，也才有助于减小软骨的摩擦。
营养工厂的氨糖来自于植物提取，海鲜过敏人群也可以使用，并且氨基葡萄糖硫酸盐的形式对胃肠道刺激更小，每日 4 粒包含氨基葡萄糖硫酸盐 1500 mg、MSM 1500mg、硫酸软骨素 200mg、果糖硼酸钙 216mg、透明质酸 3.3mg。可以实现抗炎抗氧化、保护软骨、改善关节损伤和运动功能等多种健康益处。
每日 4 粒，每月 78.2 元即可获得与市面 180-200 元市面同品质的原料配方，兼具专业性与经济性。</t>
  </si>
  <si>
    <t>成分：硫酸氨糖
多效：氨基葡萄糖硫酸盐 （减轻关节疼痛）、MSM（减轻关节肿痛和僵硬）、果糖硼酸钙（支持骨骼强度）、硫酸软骨素（延缓关节软骨退化）、透明质酸 （润滑关节）
绿色：植物提取氨糖,海鲜过敏可用
副作用：温和不刺激（氨基葡萄糖硫酸盐肠胃不适反应少更温和）</t>
  </si>
  <si>
    <t>骨关节：氨糖软骨素对膝骨关节炎相关的运动和疼痛指标均有显著疗效 https://doi.org/10.1002/ptr.6907 IF：6.1
护肤：每日口服补充生物活性胶原肽可显著改善皮肤弹性、关节疼痛和整体健康状况 https://pubmed.ncbi.nlm.nih.gov/30122200/ IF：3.1</t>
  </si>
  <si>
    <t>骨关节：https://doi.org/10.1080/15438620701405248 IF：1.9（男性）</t>
  </si>
  <si>
    <t>南非醉茄
ASHWAGANDHA</t>
  </si>
  <si>
    <t>Sensoril南非醉茄呵护认知健康.pdf
1-B Auddy et al-2008.pdf
2-U Pingali et al-2013.pdf
3- KN Roy Chenggapa et al-2013.pdf
4-U Pingali et al-2013 (2).pdf
5-P Nalini et al-2014.pdf
6-U Pingali et al-2014.pdf
7-U Pingali et al.-2014.pdf
8- R Pilli et al-2016.pdf
9-GSH Ramakanth et al-2016.pdf
10-KN Roy Chengappa et al-2018.pdf
11-TN Ziegenfuss et al-2018.pdf
12-MNK Murthy et al-2019.pdf
13-JM Gannon et al-2019.pdf</t>
  </si>
  <si>
    <t>南非醉茄是一种调节皮质醇的适应原草本，能帮助身体平衡压力反应。
长期处于高压状态的人群往往皮质醇水平失调。
我补充南非醉茄就是补充缓解焦虑与压力的天然支持。</t>
  </si>
  <si>
    <t>1. Sensoril® 专利南非醉茄提取物，提取自南非醉茄根叶混合物，醉茄内酯浓度 &gt;10%
2. 16+ 项人体临床研究，荣获 “2024 年全球营养配料奖· 年度认知健康大奖”
3. 人体临床数据支撑，有效降低血清皮质醇，改善压力症状</t>
  </si>
  <si>
    <t>南非醉茄（Ashwagandha），是一种带有鲜艳黄橙色花朵和橙红色果实的小灌木。其根部很像人参，所以也称“印度人参”。南非醉茄中含有多种营养成分，如维生素 C、铁、锌、铜、钙、钾等。其复含的醉茄内酯能够协助各种生物路径。
营养工厂的南非醉茄采用Sensoril® 专利南非醉茄提取物，提取自南非醉茄根叶混合物，醉茄内酯浓度 &gt;10%。其专利原料有16+ 项人体临床研究，荣获 “2024 年全球营养配料奖· 年度认知健康大奖”。每 2 粒含有Sensoril® 专利南非醉茄提取物 250mg（ 标准化为 32% 低聚糖，10%醉茄内酯）。可以实现改善记忆认知、调节情绪压力、提升睡眠质量、帮助维持勃起功能等多种健康益处。
每日 2 粒，每月 68.2 元即可获得与市面 150-200 元市面同品质的原料配方，兼具专业性与经济性。</t>
  </si>
  <si>
    <t>原料：Sensoril® 专利南非醉茄
含量：250mg
纯度：醉茄内酯浓度 &gt;10%</t>
  </si>
  <si>
    <t>1. 16 项临床研究，125mg / 天即显抗应激效果：针对慢性压力人群，每日服用 125mg Sensoril®，60 天后焦虑评分显著下降。
2. 专利根叶复合配方：独家结合南非醉茄根与叶提取， 相比单一根部提取，生物活性物质更丰富，醉茄内酯浓度 &gt;10%
3. 多维度健康益处：缓解压力、改善睡眠、提升能量、支持认知于情绪</t>
  </si>
  <si>
    <t>sensoril® 专利南非醉茄</t>
  </si>
  <si>
    <t>image13.jpeg</t>
  </si>
  <si>
    <t>UDA授权书（已更新）.pdf</t>
  </si>
  <si>
    <t>US8206757 Composition of ashwagandha and indian gooseberry （2029 Oct）.pdf
US8329231 Method of preventing photo-aging with ashwagandha and Indian gooseberry (2029 Oct).pdf
US9393281 Composition of beta-glucan and ashwagandha (2033 April).pdf</t>
  </si>
  <si>
    <t>GRASStatement_Sensoril_20781531_25082025.pdf（Self-Affirmed GRAS）</t>
  </si>
  <si>
    <t>Safety, toxicity and pharmacokinetic assessment of oral Withaferin-A in mice.pdf</t>
  </si>
  <si>
    <t>NutraIngredients Awards 2023 – Ingredient of the Year: Cognitive Function
（2023 年 NutraIngredients 大奖 —— 年度认知功能原料奖）
https://www.nutraingredients.com/Article/2023/03/22/NutraIngredients-Awards-2023-finalists-announced-winners-to-be-revealed-3-May/</t>
  </si>
  <si>
    <t>Kerry Group 是一家总部位于爱尔兰的全球性味觉与营养解决方案供应商，长期服务于食品、饮料、营养品和膳食补充剂市场。公司通过持续创新和全球研发网络，提供从原料开发、功能性配方到终端产品支持的一体化解决方案，在营养健康领域具有广泛影响力。
Sensoril® 是 Kerry 通过其营养与健康配方平台推出的标准化南非醉茄提取物品牌，采用根和叶联合提取技术，着重保留活性成分，提升生物活性与一致性。与传统南非醉茄提取物不同，Sensoril® 的原料设计是标准化并临床验证的，作用于压力调节、情绪支持、睡眠质量与认知表现。与根部单一提取相比，根+叶组合有助于提升活性成分的整体水平和效力。
https://www.kerry.com/products/nutrition-ingredients/wellness-and-health/sensoril-ashwagandha</t>
  </si>
  <si>
    <t>精力：南非醉茄提取物能提高健康运动员的心肺耐力和生活质量 https://pmc.ncbi.nlm.nih.gov/articles/PMC4687242/#:~:text=Conclusion%3A,QOL%20in%20healthy%20athletic%20adults. IF：5.9
睡眠：南非醉茄提取物可减轻慢性应激，改善睡眠和生活质量 https://www.mdpi.com/2072-6643/16/9/1293 IF：5.7
免疫力：南非醉茄提取物可显著改善健康受试者的免疫状况 https://doi.org/10.3390/jcm10163644 IF：4.9
压力：南非醉茄提取物显著减轻焦虑和压力 https://www.sciencedirect.com/science/article/pii/S2405844024129167 IF：4
肌肉：南非醉茄对肌肉力量和恢复有积极影响 https://pmc.ncbi.nlm.nih.gov/articles/PMC4658772/ IF：2.9
安全性（非功能）：给健康人用 300mg 南非醉茄根提取物 8 周，安全且无不良影响 https://www.sciencedirect.com/science/article/pii/S0965229920319099?via%3Dihub IF：2.7
情绪：南非醉茄可改善成人认知和情绪 https://www.sciencedirect.com/science/article/pii/S0975947621001558 IF：2.6
记忆力：南非醉茄能显著改善记忆和认知功能 https://pubmed.ncbi.nlm.nih.gov/28471731/ IF：2.3
性生活：南非醉茄根提取物能显著提高成年男性性欲和性健康 https://onlinelibrary.wiley.com/doi/10.1002/hsr2.741 IF：2.1
焦虑：南非醉茄根提取物可减轻压力焦虑，提升生活质量 https://journals.lww.com/md-journal/fulltext/2023/10130/a_standardized_ashwagandha_root_extract_alleviates.42.aspx IF：2
抑郁：南非醉茄提取物对精神分裂症抑郁焦虑症状有改善作用 https://doi.org/10.1177/104012371903100208 IF：1.9
血管、抗氧：南非醉茄提取物可显著改善 2 型糖尿病患者的内皮功能和氧化应激标志物 https://ijapr.in/index.php/ijapr/article/view/240 IF：1.8
认知：南非醉茄提取物可改善成人认知、能量和情绪问题 https://www.tandfonline.com/doi/full/10.1080/02791072.2024.2424279#d1e431 IF：1.7</t>
  </si>
  <si>
    <t>性生活：https://onlinelibrary.wiley.com/doi/10.1002/hsr2.741 IF：2.1
睡眠：https://www.liebertpub.com/doi/full/10.1089/jmf.2022.0040 IF：2.3
压力：https://www.liebertpub.com/doi/full/10.1089/jmf.2022.0040 IF：2.3
肌肉：https://pmc.ncbi.nlm.nih.gov/articles/PMC4658772/ IF：2.9</t>
  </si>
  <si>
    <t>牡蛎精
OYSTER PRO</t>
  </si>
  <si>
    <t>牡蛎肽富含天然生物锌与牛磺酸，是男性精力的重要来源。
现代男性常因工作压力与饮食结构导致锌元素与活力因子缺乏。
补充牡蛎精就是补充源自海洋的天然男性营养。</t>
  </si>
  <si>
    <t>1. 浓缩牡蛎粉+牛磺酸，补充多种氨基酸
2. 复配氨基酸螯合锌，生物利用度比普通锌高 200%，促进睾酮的合成和维护精子的健康
3. 小粒软胶囊，更好吞服</t>
  </si>
  <si>
    <t>营养工厂的牡蛎精来自天然牡蛎，并添加氨基酸螯合锌、牛磺酸及小麦胚芽油等物质。每日 4 粒含浓缩牡蛎粉 360mg、氨基酸螯合锌 40mg、小麦胚芽油 700mg、牛磺酸 10mg。可以实现改善性功能勃起障碍、改善精子质量、预防心脏疾病、抗氧化促睾酮合成、缓解酒精所致肝损伤、改善男性生殖健康等健康益处。
每日 4 粒，每月 68.2 元即可获得与市面 300-400 元市面同品质的原料配方，兼具专业性与经济性。</t>
  </si>
  <si>
    <t>含量：每份含 360mg 浓缩牡蛎粉,8mg 锌
形式：牡蛎油 + 氨基酸螯合锌（吸收好）
胶囊：小粒易吞服</t>
  </si>
  <si>
    <t>肌肉：本研究发现，6克牛磺酸补充可显著增加健康男性空腹中等强度运动后脂肪氧化 https://pubmed.ncbi.nlm.nih.gov/32466231/ IF：5.9
吸收（非功能）：锌补充剂对孕妇血清锌浓度有适度影响 https://pubmed.ncbi.nlm.nih.gov/38621624/ IF：3.8
镇痛：锌补充剂可降低偏头痛发作频率 https://pubmed.ncbi.nlm.nih.gov/32928216/ IF：3.271
精力：本研究证实口服牛磺酸能增强热环境中骑行的耐力和热调节 https://pubmed.ncbi.nlm.nih.gov/30776254/ IF：3
性生活：SP-Power补充剂可改善男性精子质量、DNA完整性和部分生殖激素水平https://pubmed.ncbi.nlm.nih.gov/38525521/ IF：1.6
备孕：SP-Power补充剂可改善男性精子质量、DNA完整性和部分生殖激素水平 https://pubmed.ncbi.nlm.nih.gov/38525521/ IF：1.6</t>
  </si>
  <si>
    <t>吸收（非功能）：https://pubmed.ncbi.nlm.nih.gov/38621624/ IF：3.8
镇痛：https://pubmed.ncbi.nlm.nih.gov/37165643/ IF：1.4</t>
  </si>
  <si>
    <t>性生活：https://pubmed.ncbi.nlm.nih.gov/40248985/ IF：1.4（男性）
https://pubmed.ncbi.nlm.nih.gov/38525521/ IF：1.6（男性）
备孕：https://pubmed.ncbi.nlm.nih.gov/40248985/ IF：1.4（男性）
https://pubmed.ncbi.nlm.nih.gov/38525521/ IF：1.6（男性）
肌肉：https://pubmed.ncbi.nlm.nih.gov/32466231/ IF：5.9（男性）
精力：https://pubmed.ncbi.nlm.nih.gov/30776254/ IF：3（男性）</t>
  </si>
  <si>
    <t>槲皮素
QUERCETIN BLEND</t>
  </si>
  <si>
    <t>IndenaChina - 高生物利用度的槐米提取物 QUERCEFIT - Presentation - CN 20241126.pdf
INDENA天然槲皮素产品QUERCEFIT-北京信达和众(1).pdf</t>
  </si>
  <si>
    <t>槲皮素是一种强大的天然抗组胺与免疫支持类黄酮，人体不能合成。
许多人因果蔬摄入单一而缺乏这种天然的免疫调节成分。
补充槲皮素就是补充针对呼吸道与免疫系统的植物营养。</t>
  </si>
  <si>
    <t>1. Indena  Quercefit® 专利槲皮素，生物利用度约为普通槲皮素的 20 倍。
2. 临床数据表明 Quercefit®  能缩短新冠轻症患者病程，减少过敏不适症状，提供免疫支持。
3. 拥有经临床认证的多重益处，辅助降尿酸，免疫支持，肺部健康支持。</t>
  </si>
  <si>
    <t>是一种天然存在于多种水果和蔬菜中的类黄酮，具有强效的抗氧化和抗炎特性。槲皮素能够调节免疫系统，减轻自由基对细胞的损伤，同时对心血管健康、血糖调控及过敏反应具有潜在保护作用。
营养工厂的槲皮素采取的是 Quercefit ®专利槲皮素，与普通槲皮素相比具有 20 倍生物利用度，拥有经临床认证的多重益处，每粒含有Quercefit ®槲皮素 250mg、菠萝蛋白酶 150mg、锌（吡啶甲酸锌） 25mg、铜（葡萄糖酸铜）1mg。可以实现显著降低尿酸浓度、呵护肺部健康、预防肺纤维化、改善肺功能等多种健康益处。
每日 1 粒，每月 54.1 元即可获得与市面 300-400 元市面同品质的原料配方，兼具专业性与经济性。</t>
  </si>
  <si>
    <t>专利：Quercefit®  专利槲皮素
生物利用度：向日葵卵磷脂外层包裹、生物利用度提升 2000%
吸收：临床证明血液浓度显著高于普通槲皮素
来源：天然槐花提取、无副作用</t>
  </si>
  <si>
    <t xml:space="preserve"> 1. Quercefit® 槲皮素的生物利用度比普通槲皮素提高了 20 倍，同等剂量下更有效。
2. Quercefit®有助于维护免疫系统的健康，针对 COVID-19 有潜在的预防作用，可以降低病毒感染风险，对于已感染病毒的人群，有减缓病程、缓解不适症状、帮助加快恢复的作用。
3. 临床研究表明 Quercefit ®可显著缓解过敏患者的眼鼻不适，提高整体生活质量。Quercefit ®可提高运动训练表现，平衡氧化应激。
 </t>
  </si>
  <si>
    <t>Quercefit®  专利槲皮素</t>
  </si>
  <si>
    <t>image16.jpeg</t>
  </si>
  <si>
    <t>quercefit trademark authorization.pdf</t>
  </si>
  <si>
    <t>槲皮素 EP3654938B1_quercefit-Original_document.pdf
槲皮素 US11331298B2_quercefit-Original_document.pdf</t>
  </si>
  <si>
    <t>澳洲 TGA 认证：9047510 TGA Proprietary Ingredient Summary.pdf</t>
  </si>
  <si>
    <t>04-03 临床-药代-生物利用度20X-Improved Oral Absorption of Quercetin from Quercetin Phytosome®.pdf</t>
  </si>
  <si>
    <t>2025 NutraIngredients-USA Awards Product of the Year Botanical Winner
https://nutraingredientsusa-awards.com/live/en/page/2025-finalists-and-winners</t>
  </si>
  <si>
    <t>Indena 是全球植物提取物领域的百年领先企业（1921年创立），专注于高标准、科学驱动的植物活性成分开发，在国际膳食补充剂与功能性食品市场具有顶级行业地位。其客户群体覆盖全球知名膳食补充品牌、制药企业及多家世界500强健康相关子公司，是众多头部品牌实现高端差异化的产品首选原料。Berbevis® 作为 Indena 的专利力作，依托独家 Phytosome™技术，解决了普通小檗碱生物利用度低、胃肠道不耐受的两大关键痛点，帮助品牌在血糖管理、代谢健康、PCOS支持、体脂管理等高需求赛道建立了临床可信、消费者可感知的产品优势。
https://www.indena.com/products/see-through-science/berbevis-berberine-phytosome/</t>
  </si>
  <si>
    <t>肺部：间歇给药达沙替尼和槲皮素，在 IPF 患者中可行且耐受性好 https://pubmed.ncbi.nlm.nih.gov/36857968/ IF：10.8
精力：槲皮素补充剂可缓解慢性疲劳综合征症状。https://doi.org/10.1016/j.biopha.2023.115453 IF：7.4
肝脏：槲皮素干预可适度降低非酒精性脂肪肝病患者肝脏脂肪沉积 https://doi.org/10.1016/j.ajcnut.2024.07.013 IF：6.5
抗炎：研究显示，摄入含槲皮素补充剂能有效缓解过敏症状，提高生活质量。 https://doi.org/10.26355/eurrev_202206_29072 IF：6.1
免疫力：槲皮素补充剂可能有助于早期 COVID-19 患者快速康复 https://doi.org/10.3389/fphar.2022.1096853 IF：4.4
肌肉：槲皮素摄入能增强老年人大强度训练后肌肉力量 https://doi.org/10.1007/s00394-025-03634-9 IF：4.1
血糖：槲皮素对 2 型糖尿病患者多项健康指标有显著改善作用 https://doi.org/10.3390/jcm13123504 IF：3
尿酸：槲皮素每日 500 毫克补充 4 周，显著降低健康男性血浆尿酸浓度 https://pubmed.ncbi.nlm.nih.gov/26785820/ IF：3
抗衰：槲皮素可减轻炎症、心肌损伤和衰老负担 https://doi.org/10.3389/fcvm.2021.741542 IF：2.8
 备孕：槲皮素可显著降低 PCOS 患者炎症和 LH 水平，改善卵子及胚胎质量，提高妊娠率 https://doi.org/10.1111/aji.13644 IF：2.5
心血管：槲皮素对老年代谢综合征患者有心血管代谢益处 https://doi.org/10.1016/j.phanu.2020.100250 IF：2.4</t>
  </si>
  <si>
    <t>肺部：https://pubmed.ncbi.nlm.nih.gov/36857968/ IF：10.8</t>
  </si>
  <si>
    <t>肌肉：https://doi.org/10.1007/s00394-025-03634-9 IF：4.1</t>
  </si>
  <si>
    <t>抗炎、备孕：https://doi.org/10.1111/aji.13644 IF：2.5
心血管、血糖、血压:槲皮素对老年代谢综合征患者有心血管代谢益处 https://doi.org/10.1016/j.phanu.2020.100250 IF:2.4</t>
  </si>
  <si>
    <t>尿酸：https://pubmed.ncbi.nlm.nih.gov/26785820/ IF：3</t>
  </si>
  <si>
    <t>活性男士复合维生素
UndoAge MEN'S COMPLETE MULTIPLE ACTIVE VITAMIN</t>
  </si>
  <si>
    <t>男士复合维生素包含男性代谢必需的多种微量营养素。
快节奏生活与单一的饮食结构让大多数男性难以获得均衡营养。
补充活性男士多维就是补充男性每日必需的营养缺口。</t>
  </si>
  <si>
    <t>1. 20 种营养素科学剂量，锌 + 硒 + 番茄红素，不含铁，专为男士设计
2. 9 大维生素升级活性来源：活性 A、C、D、E、B2、B3、B5、B6、B7，更易被身体直接利用
3. 4 大矿物质来源升级，氨基酸螯合形式，更好吸收，不刺激</t>
  </si>
  <si>
    <t>营养工厂的男性多维矿物质补充剂，含有 20 种营养素，锌 + 硒 + 番茄红素，不含铁，专为男士设计。每粒含 200 天男性每日所需营养量，科学配比，吸收高效。其中A、C、D、E、B2、B3、B5、B6、B7 等 9 大维生素升级活性来源更易被身体直接利用。4 大矿物质采用氨基酸螯合形式，更好吸收，不刺激。每日 1 粒，随餐服用即可满足日常营养需求。每粒主要含量：维生素 A 900mcg / 维生素 C 99mg / 维生素 D 25mcg / 维生素 E 15mg B1 1.32mg / B2 1.43mg / B6 2.17mg / B12 100mcg / 生物素 43mcg / 泛酸 15.5mg / 叶酸 400mcg DFE 钙 210mg / 镁 120mg / 锌 11mg / 铜 0.9mg / 锰 2.3mg / 硒 55mcg 番茄红素 300mcg。
每日 1 粒，即可满足男性全方位营养需求。每月仅 14.73 元，即可获得与市面高端品牌同源原料配方，兼具专业性与经济性，轻松守护男性健康与活力。</t>
  </si>
  <si>
    <t>原料：A、C、D、E、B2、B3、B5、B6、B7 9 大活性维生素,锌、钠、铜、锰4 大氨基酸螯合矿物质
配方：锌 + 硒 + 番茄红素,不含铁,专为男性设计</t>
  </si>
  <si>
    <t>GMP Nutrition Enterprises Inc.：FDA、cGMP
澳美（香港）健康产品有限公司：FDA、HACCP、GMP、ISO 22000
备注：需确定批次后才能确定生产工厂</t>
  </si>
  <si>
    <t>涉及多个原料商，且均为非专利原料，暂不作为卖点输出</t>
  </si>
  <si>
    <t>备孕、血压：低剂量钙补充剂对预防妊娠期高血压非劣效于高剂量 https://www.nejm.org/doi/full/10.1056/NEJMoa2307212 IF：91.2
肝脏：维生素 E 300mg 每日可显著改善 MASH 患者肝组织学及肝功能 https://doi.org/10.1016/j.xcrm.2025.101939 IF：7.5
肠道：钙和 1,25(OH)2D3 干预显著影响结肠基因表达，钙可调节 1,25(OH)2D3 效应 https://doi.org/10.3945/ajcn.114.105304 IF：7.3
吸收（非功能）：孕期和产后高剂量维生素 B12 补充可改善母乳中维生素 B12 水平 https://doi.org/10.1016/j.ajcnut.2023.07.023 IF：6.5
血液：单次 500mg 静脉铁剂治疗产后贫血有效 https://doi.org/10.1016/j.ajog.2021.06.069 IF：6.5
血糖：补充维生素 D 和/或钙可改善胰岛 β 细胞功能 https://doi.org/10.1021/acs.jafc.2c05469 IF：5.7
骨骼：低剂量 B 族维生素干预对整体骨密度无显著影响，但可改善低 B12 状态成人骨健康 https://doi.org/10.1002/jbmr.4709 IF：5.1
视力：烟酰胺补充可改善青光眼患者内层视网膜功能 https://doi.org/10.1111/ceo.13818 IF：5
情绪：维生素 B6 辅助锂治疗可改善双相 I 型障碍躁狂症状 https://doi.org/10.1016/j.jad.2023.10.121 IF：4.9
睡眠：维生素 E 可改善绝经后女性慢性失眠，减少镇静药物使用 https://doi.org/10.3390/nu15051187 IF：4.8
血脂：维生素 D 补充显著改善代谢性脂肪肝病患者肝纤维化相关指标 https://doi.org/10.1186/s12937-024-00911-x IF：4.4
认知：B 族维生素可减缓脑萎缩，改善认知功能，但与阿司匹林共用效果受限 https://doi.org/10.1007/s12603-021-1708-1 IF：4.3
甲状腺：锌、镁、维生素 A 联合补充可改善甲状腺功能、降低炎症标志物 https://doi.org/10.1007/s12011-020-02548-3 IF：3.4
胃部：维生素 B6 可减轻四联抗幽门螺杆菌治疗的不良反应，保护神经和肠胃 https://doi.org/10.1186/s12879-023-08571-8 IF：3.4
精力：28 天补充复合维生素 B 可显著提升耐力、减少疲劳代谢物 https://doi.org/10.7150/ijms.86738 IF：3
神经：维生素 E 不能降低紫杉醇类化疗引起的周围神经病变的发生率，但能缩短其持续时间，促神经恢复 https://doi.org/10.1007/s00280-021-04347-6 IF：2.8
镇痛：维生素 C 和 E 补充剂可减轻子宫内膜异位症相关氧化应激和疼痛 https://doi.org/10.1155/2021/5529741 IF：2.5
护肤：每日口服泛酸基膳食补充剂可显著减少面部痤疮皮损数量 https://doi.org/10.1007/s13555-014-0052-3 IF：2.5
肌肉：维生素 D 补充可减少肌损伤指标，改善 COVID-19 后肌肉状态 https://doi.org/10.3390/medicina57101079 IF：2.4
代谢：维生素 C 可减轻艾托咪酯引起的应激抑制，提高创伤患者术后血清皮质醇水平 https://doi.org/10.1186/s12871-023-02065-5 IF：2.3
女性健康：维生素 D 补充一年可降低子宫肌瘤复发率 50%，且缩小复发肌瘤大小 https://doi.org/10.1016/j.ctcp.2022.101536 IF：2.2
免疫力：补充维生素 A、B、C、D、E 可改善 ICU 新冠患者炎症反应，降低疾病严重程度 https://doi.org/10.1186/s13063-021-05795-4 IF：2
耐受性（非功能）：微胶囊化碳酸钙补充剂改善了绝经后女性的胃肠道耐受性 https://doi.org/10.7573/dic.2020-1-4 IF：1.5
心血管：维生素 C 补充可减轻氧化应激，改善心脏手术中红细胞变形性 https://doi.org/10.4103/0304-4920.358234 IF：1.4
护眼：维生素 A 棕榈酸酯眼凝胶能有效保护术中眼表，减少干眼及角膜损伤 https://doi.org/10.1007/s10792-024-03074-0 IF：1.4</t>
  </si>
  <si>
    <t>备孕：https://www.nejm.org/doi/full/10.1056/NEJMoa2307212 IF：91.2
血压：https://www.nejm.org/doi/full/10.1056/NEJMoa2307212 IF：91.2</t>
  </si>
  <si>
    <t>肌肉：https://doi.org/10.3390/medicina57101079 IF：2.4</t>
  </si>
  <si>
    <t>吸收（非功能）：https://doi.org/10.1542/peds.2020-009985 IF：6.2
免疫力：https://doi.org/10.4081/pr.2019.7954 IF：1.2
骨骼：https://doi.org/10.4081/pr.2017.7294 IF;1.1</t>
  </si>
  <si>
    <t>男性：
肌肉：https://doi.org/10.3390/medicina57101079 IF：2.4</t>
  </si>
  <si>
    <t>女士复合维生素
WEMEN'S COMPLETE MULTIPLE ACTIVE VITAMIN</t>
  </si>
  <si>
    <t>女士复合维生素涵盖了女性免疫、气色与代谢所需的关键营养。
女性因生理周期与多重压力，极易出现特定维生素与矿物质的缺乏。
退出补充女士复合维生素就是补充女性全方位的健康底座。</t>
  </si>
  <si>
    <t>1. 18 种营养素科学剂量，每粒含有 18mg 铁，专为女士设计
2. 9 大维生素升级活性来源：活性 A、C、D、E、B2、B3、B5、B6、B7，更易被身体直接利用
3. 4 大矿物质来源升级，氨基酸螯合形式，更好吸收，不刺激</t>
  </si>
  <si>
    <t>营养工厂的女性多维矿物质补充剂，含有 18 种营养素，铁 + 叶酸 + 钙，专为女士设计。每粒含 200 天女性每日所需营养量，科学配比，吸收高效。其中 A、C、D、E、B2、B5、B6、B7、B12等 9 大维生素升级活性来源更易被身体直接利用。4 大矿物质采用氨基酸螯合形式，更好吸收，不刺激。每日 1 粒，随餐服用即可满足日常营养需求。
每粒主要含量： 维生素 A 700mcg / 维生素 C 90mg / 维生素 D 25mcg / 维生素 E 15mg B1 2.4mg / B2 1.95mg / B6 3.4mg / B12 100mcg / 生物素 45mcg / 泛酸 7.5mg / 叶酸 665mcg DFE 钙 130mg / 铁 18mg / 镁 42mg / 锌 8mg / 硒 41mcg / 铜 1.35mg。
每日 1 粒，即可满足女性全方位营养需求。每月仅 14.73 元，即可获得与市面高端品牌同源原料配方，兼具专业性与经济性，轻松守护女性健康与活力。</t>
  </si>
  <si>
    <t>原料：A、C、D、E、B2、B3、B5、B6、B7 9 大活性维生素,锌、钠、铜、锰 4 大氨基酸螯合矿物质
配方：每粒含铁 18mg,专为女性设计</t>
  </si>
  <si>
    <t>备孕：低剂量钙补充剂对预防妊娠期高血压非劣效于高剂量 https://www.nejm.org/doi/full/10.1056/NEJMoa2307212 IF：91.2
血压：低剂量钙补充剂对预防妊娠期高血压非劣效于高剂量 https://www.nejm.org/doi/full/10.1056/NEJMoa2307212 IF：91.2
肝脏：维生素 E 300mg 每日可显著改善 MASH 患者肝组织学及肝功能 https://doi.org/10.1016/j.xcrm.2025.101939 IF：7.5
肠道：钙和 1,25(OH)2D3 干预显著影响结肠基因表达，钙可调节 1,25(OH)2D3 效应 https://doi.org/10.3945/ajcn.114.105304 IF：7.3
吸收（非功能）：孕期和产后高剂量维生素 B12 补充可改善母乳中维生素 B12 水平 https://doi.org/10.1016/j.ajcnut.2023.07.023 IF：6.5
血液：单次 500mg 静脉铁剂治疗产后贫血有效 https://doi.org/10.1016/j.ajog.2021.06.069 IF：6.5
血糖：补充维生素 D 和/或钙可改善胰岛 β 细胞功能 https://doi.org/10.1021/acs.jafc.2c05469 IF：5.7
骨骼：低剂量 B 族维生素干预对整体骨密度无显著影响，但可改善低 B12 状态成人骨健康 https://doi.org/10.1002/jbmr.4709 IF：5.1
视力：烟酰胺补充可改善青光眼患者内层视网膜功能 https://doi.org/10.1111/ceo.13818 IF：5
情绪：维生素 B6 辅助锂治疗可改善双相 I 型障碍躁狂症状 https://doi.org/10.1016/j.jad.2023.10.121 IF：4.9
睡眠：维生素 E 可改善绝经后女性慢性失眠，减少镇静药物使用 https://doi.org/10.3390/nu15051187 IF：4.8
血脂：维生素 D 补充显著改善代谢性脂肪肝病患者肝纤维化相关指标 https://doi.org/10.1186/s12937-024-00911-x IF：4.4
认知：B 族维生素可减缓脑萎缩，改善认知功能，但与阿司匹林共用效果受限 https://doi.org/10.1007/s12603-021-1708-1 IF：4.3
甲状腺：锌、镁、维生素 A 联合补充可改善甲状腺功能、降低炎症标志物 https://doi.org/10.1007/s12011-020-02548-3 IF：3.4
胃部：维生素 B6 可减轻四联抗幽门螺杆菌治疗的不良反应，保护神经和肠胃 https://doi.org/10.1186/s12879-023-08571-8 IF：3.4
精力：28 天补充复合维生素 B 可显著提升耐力、减少疲劳代谢物 https://doi.org/10.7150/ijms.86738 IF：3
神经：维生素 E 不能降低紫杉醇类化疗引起的周围神经病变的发生率，但能缩短其持续时间，促神经恢复 https://doi.org/10.1007/s00280-021-04347-6 IF：2.8
镇痛：维生素 C 和 E 补充剂可减轻子宫内膜异位症相关氧化应激和疼痛 https://doi.org/10.1155/2021/5529741 IF：2.5
护肤：每日口服泛酸基膳食补充剂可显著减少面部痤疮皮损数量 https://doi.org/10.1007/s13555-014-0052-3 IF：2.5
肌肉：维生素 D 补充可减少肌损伤指标，改善 COVID-19 后肌肉状态 https://doi.org/10.3390/medicina57101079 IF：2.4
代谢：维生素 C 可减轻艾托咪酯引起的应激抑制，提高创伤患者术后血清皮质醇水平 https://doi.org/10.1186/s12871-023-02065-5 IF：2.3
女性健康：维生素 D 补充一年可降低子宫肌瘤复发率 50%，且缩小复发肌瘤大小 https://doi.org/10.1016/j.ctcp.2022.101536 IF：2.2
免疫力：补充维生素 A、B、C、D、E 可改善 ICU 新冠患者炎症反应，降低疾病严重程度 https://doi.org/10.1186/s13063-021-05795-4 IF：2
耐受性（非功能）：微胶囊化碳酸钙补充剂改善了绝经后女性的胃肠道耐受性 https://doi.org/10.7573/dic.2020-1-4 IF：1.5
心血管：维生素 C 补充可减轻氧化应激，改善心脏手术中红细胞变形性 https://doi.org/10.4103/0304-4920.358234 IF：1.4
护眼：维生素 A 棕榈酸酯眼凝胶能有效保护术中眼表，减少干眼及角膜损伤 https://doi.org/10.1007/s10792-024-03074-0 IF：1.4</t>
  </si>
  <si>
    <t>认知：https://doi.org/10.1007/s12603-021-1708-1 IF：4.3</t>
  </si>
  <si>
    <t>备孕：https://doi.org/10.1016/j.ajcnut.2023.07.023 IF：6.5
备孕：https://www.nejm.org/doi/full/10.1056/NEJMoa2307212 IF：91.2
睡眠：https://doi.org/10.3390/nu15051187 IF：4.8
抗氧：https://doi.org/10.1155/2021/5529741 IF：2.5
女性健康：https://doi.org/10.1016/j.ctcp.2022.101536 IF；2.2
血液：https://doi.org/10.1016/j.ajog.2021.06.069 IF：6.5
耐受性（非功能）：https://doi.org/10.7573/dic.2020-1-4 IF：1.5</t>
  </si>
  <si>
    <t>虾青素
Astaxanthin Complex</t>
  </si>
  <si>
    <t>BGG 天然虾青素20250725-A1.pdf
CN109789178B.pdf
EP3522903B1.pdf
JP7329245B2.pdf
US10827775.pdf
WO2018064966A1.pdf</t>
  </si>
  <si>
    <t>虾青素是自然界最强的抗氧化剂之一，人体无法合成。日常膳食中很难获取足量虾青素来应对紫外线与氧化损伤。补充虾青素复合物就是补充全身性的强效抗氧化保护。</t>
  </si>
  <si>
    <t>1. 专利虾青素原料 AstaZine®，在 100% 玻璃管光生物反应器中进行全密闭管道式培养，安全纯净
2. 天然雨生红球藻破壁萃取，100% 左旋结构
3. 临床实验证实改善皮肤细纹、弹性、水分、粗糙等肌肤问题；同时对眼部健康、心血管功能、运动耐力等方面同样可能带来多种益处。</t>
  </si>
  <si>
    <t>虾青素是天然存在的酮式类胡萝卜素，是迄今为止发现的最强天然抗氧化剂，抗氧化能力是维生素 C 的 6067 倍，白藜芦醇的 3000 倍，是少数能进入血脑屏障及穿越细胞膜两侧的成分，能由内而外提供最完整的抗氧化效力。
营养工厂的虾青素采取专利虾青素原料 AstaZine®，在 100% 玻璃管光生物反应器中进行全密闭管道式培养，安全纯净，均来自天然雨生红球藻破壁萃取，100% 左旋结构。每粒含 AstaZine® 虾青素 6mg、谷胱甘肽 10mg、维生素 E 33.6mg、卵磷脂 130mg，可以实现减少氧化、改善肤质淡化细纹等多种健康益处。
每日 1 粒，每月 39.5 元即可获得与市面 200-500 元市面同品质的原料配方，兼具专业性与经济性。</t>
  </si>
  <si>
    <t>原料：专利虾青素原料 AstaZine® 
形式：100% 左旋结构
含量：AstaZine® 虾青素 6mg、谷胱甘肽 10mg、维生素 E 33.6mg、卵磷脂 130mg</t>
  </si>
  <si>
    <t>1. 5 项国际专利护航：拥有涵盖中、日、欧、美等地区的 5 项国际专利，核心技术获全球认可，其中含美国心脏健康相关专利（US 10,827,775）。
2. 雨生红球藻来源虾青素：雨生红球藻被公认为是自然界中生产天然虾青素最好的生物，天然虾青素抗氧化功效和生物活性高于合成虾青素。
3. 国内唯一临床观察研究数据支持的虾青素生产商。</t>
  </si>
  <si>
    <t>AstaZine® 专利虾青素</t>
  </si>
  <si>
    <t>image7.jpeg</t>
  </si>
  <si>
    <t>astazine商标许可协议.pdf</t>
  </si>
  <si>
    <t>CN109789178B.pdf
EP3522903B1.pdf
JP7329245B2.pdf
US10827775.pdf
WO2018064966A1.pdf</t>
  </si>
  <si>
    <t>沟通获取中</t>
  </si>
  <si>
    <t>BGG 成立于1995年，已成为全球市场的领军企业，专业生产和采购经临床验证的膳食补充剂、化妆品以及食品和饮料行业的原料。
秉持对卓越品质的坚定承诺，BGG 甄选品质卓越的野生、有机和非转基因原材料。最终成果满足全球各地人们健康需求的优质天然保健方案，提升他们的健康和生活品质。
其专长在于利用水果提取物、海洋植物、草药精华、天然维生素以及独特的甜味剂和增味剂的力量。
https://bggworld.com/astaxanthin-astazinetm/</t>
  </si>
  <si>
    <t>护眼：含有虾青素、叶黄素和玉米黄质的补充剂可改善因视觉显示终端操作受损的眼手协调功能 https://doi.org/10.3390/nu15061459 IF：4.8
备孕：虾青素可改善子宫内膜异位症患者炎症、氧化应激及辅助生殖结果 https://doi.org/10.3389/fendo.2023.1144323 IF：4.6
抗氧：虾青素可改善卵巢反应不良患者的辅助生殖技术结果 https://doi.org/10.1186/s13048-024-01537-7 IF：4.2
抗炎：虾青素补充可降低 2 型糖尿病患者血清 MDA、IL-6 及 miR-146a 表达 https://doi.org/10.1111/ijcp.14022 IF：2.4
血压、血脂：虾青素具有抗氧化、抗炎、降血压、改善血脂等功效 https://doi.org/10.1186/s13063-024-08339-8 IF：2
护肤：虾青素可改善皮肤皱纹、色斑、弹性及水分保持等多方面状况 https://doi.org/10.18388/ABP.2012_2168 IF：2
减重：虾青素补充可降低健康受试者饮食摄入量 https://www.nchpjournals.com/Manuscript?id=1871 IF：0.4</t>
  </si>
  <si>
    <t>备孕：https://doi.org/10.3389/fendo.2023.1144323 IF：4.6
https://doi.org/10.1186/s13048-024-01537-7 IF：4.2
抗炎：https://doi.org/10.3389/fendo.2023.1144323 IF：4.6
抗氧：https://doi.org/10.3389/fendo.2023.1144323 IF：4.6
https://doi.org/10.1186/s13048-024-01537-7 IF：4.2</t>
  </si>
  <si>
    <t>护眼：https://doi.org/10.1007/s12325-025-03125-7 IF：4</t>
  </si>
  <si>
    <t>大豆异黄酮
SOY ISOFLAVONE</t>
  </si>
  <si>
    <t>Sorlife 大豆异黄酮胶囊</t>
  </si>
  <si>
    <t>大豆异黄酮是结构类似雌激素的植物营养素，人体无法自行合成。
更年期前后女性因雌激素水平波动，常出现多种不适。
补充大豆异黄酮就是补充天然温和的激素平衡因子。</t>
  </si>
  <si>
    <t>1. 大豆异黄酮，女性雌激素水平的“双向调节器”
2. 5 合 1 配方，多效协同，呵护女性卵巢健康
3. 缓解更年期女性不适，支持皮肤与整体状态改善</t>
  </si>
  <si>
    <t>大豆异黄酮是一种多酚类化合物，是大豆生长中形成的一类次级代谢产物，大豆异黄酮可以与雌激素受体结合，发挥类雌激素和调控内源性雌激素的作用，故被称为植物雌激素。
营养工厂的大豆异黄酮每 2 粒含大豆异黄酮提取物 120mg、蔓越莓提取物100mg、红石榴籽提取物 70mg、月见草油 100mg、葛根黄酮 80mg。可以实现防止卵巢早衰、纠正月经紊乱、促进乳腺健康、改善更年期健康等多种健康益处。
每日 2 粒，每月 58.2 元即可获得与市面 300-400 元市面同品质的原料配方，兼具专业性与经济性。</t>
  </si>
  <si>
    <t>配方：大豆异黄酮提取物 120mg、蔓越莓提取物100mg、红石榴籽提取物 70mg、月见草油 100mg、葛根黄酮 80mg 五合一配方高效协同</t>
  </si>
  <si>
    <t>女性健康：含有大豆异黄酮的植物提取物组合可改善绝经期西班牙女性的生活质量 https://doi.org/10.1371/journal.pone.0255015 IF：6.6
安全性（非功能）：大豆异黄酮提取物不影响酒精的致醉效果 https://doi.org/10.3389/fphar.2019.00131 IF：4.6
抗炎：大豆异黄酮和维生素D可减轻IBS炎症及肠道通透性 https://doi.org/10.1016/j.clnesp.2019.09.003 IF：3.1
骨骼：大豆异黄酮可降低腹膜透析患者血清中骨吸收标志物浓度 https://doi.org/10.1007/s11255-020-02523-w IF：2.7
精力：大豆提取物补充剂可提升男性骑行者 20 公里计时赛表现 https://doi.org/10.1249/mss.0000000000002102 IF：2.2
睡眠、血管、情绪、抑郁：含有大豆异黄酮的营养补充剂有效改善了绝经后女性的潮热、睡眠问题、情绪低落和易怒等症状 https://doi.org/10.1080/19390211.2020.1853648 IF：2</t>
  </si>
  <si>
    <t>女性健康：https://doi.org/10.1371/journal.pone.0255015 IF：6.6
女性健康：https://doi.org/10.1007/s00394-025-03588-y IF；5.1
女性健康：https://doi.org/10.3969/j.issn.1006-7256.2016.21.069  IF：3.12
女性健康：https://doi.org/10.1080/09637486.2020.1712682 IF：2.3
女性健康：https://doi.org/10.1249/mss.0000000000002102 IF：2
睡眠：https://doi.org/10.1249/mss.0000000000002102 IF：2
抑郁：https://doi.org/10.1249/mss.0000000000002102 IF：2
血管：https://doi.org/10.1249/mss.0000000000002102 IF：2
情绪：https://doi.org/10.1249/mss.0000000000002102 IF：2</t>
  </si>
  <si>
    <t>安全性（非功能）：https://doi.org/10.3389/fphar.2019.00131 IF：4.6
精力：https://doi.org/10.1249/mss.0000000000002102 IF：2.2</t>
  </si>
  <si>
    <t xml:space="preserve">纳豆激酶
NATTOKINASE </t>
  </si>
  <si>
    <t>Aehig - 纳豆激酶胶囊至臻版</t>
  </si>
  <si>
    <t>纳豆激酶是一种能溶解血栓的膳食蛋白酶，仅存在于发酵纳豆中。
非纳豆饮食习惯的人群无法获取这种维护血管畅通的活性酶。
补充纳豆激酶就是补充心脑血管的天然溶栓动力。</t>
  </si>
  <si>
    <t>1. EsseZyme™ 专利纳豆激酶，纳豆激酶行业标杆，品质功效双保障
2. 纳豆激酶＋大豆卵磷脂＋槐花提取物＋橙皮苷，四维协同，全面守护心血管健康
3. 经多项人体临床实证，纳豆激酶安全有效</t>
  </si>
  <si>
    <t>纳豆激酶是一种从纳豆中提取的天然蛋白酶，能够分解血液中的纤维蛋白，从而起到促进血液循环、预防血栓形成的作用。纳豆激酶在体内能够支持血液流动性，改善微循环，帮助维持心脑血管健康，并在一定程度上降低血压风险。
营养工厂的纳豆激酶采用 EsseZyme™  专利纳豆激酶，是纳豆激酶的行业标杆，有多项人体实证。每粒含纳豆激酶 3000FU、大豆卵磷脂 9mg、槐花提取物（槲皮素）1.66mg、橙皮苷 1.66mg。
每日 1 粒，每月 39.1 元即可获得与市面 300-400 元市面同品质的原料配方，兼具专业性与经济性。</t>
  </si>
  <si>
    <t>专利： EsseZyme™ 纳豆激酶,纳豆激酶行业标杆,品质功效双保障
安全性：无化学合成剂、去除 K2
含量：高含量 3000FU 每日 1-2 粒即可</t>
  </si>
  <si>
    <t>EsseZyme™ 纳豆激酶（暂未授权）</t>
  </si>
  <si>
    <t>沟通授权中</t>
  </si>
  <si>
    <t>双骏生物是创新驱动型发酵制品专家，专注肽类药物与生物发酵技术研究 30+ 年，拥有 6200 多株自主知识产权专利高产菌种，是中国纳豆激酶原研企业与生产企业，是中国医药质量管理协会认证的纳豆生理活性物质生产质量管理示范基地，也是纳豆粉地方标准、纳豆粉团体标准制定企业。其产品涵盖新型药品、保健食品、护肤品等领域，拥有从菌种发酵、原料研发与制造、终端制剂生产与应用的全产业链，是中国纳豆激酶的原料制造商与产品全案提供商。</t>
  </si>
  <si>
    <t>血脂：纳豆激酶-红曲霉补充剂可显著改善血脂水平 https://pubmed.ncbi.nlm.nih.gov/37836525/ IF；5.9
血液：纳豆激酶单剂量口服可增强人体溶栓和抗凝血功能 https://pubmed.ncbi.nlm.nih.gov/26109079/ IF：5.578
血管：纳豆激酶单剂量可加速手部冷水浸泡后外周皮肤温度恢复 https://www.cell.com/heliyon/fulltext/S2405-8440%2823%2905159-9 IF；3.4
心血管：纳豆激酶对颈动脉粥样硬化和高血脂患者有显著改善作用 https://pubmed.ncbi.nlm.nih.gov/28763875/ IF：1.7</t>
  </si>
  <si>
    <t>玛卡喜来芝复合物
SHILAJIT &amp; MACA +</t>
  </si>
  <si>
    <t>Aehig 喜来芝复合片</t>
  </si>
  <si>
    <t>玛卡与喜来芝是提升耐力与荷尔蒙平衡的传统天然珍品。
现代疲劳综合征让许多人感到精力透支且恢复缓慢。
补充玛卡喜来芝复合物就是补充天然的体力与适应原支持。</t>
  </si>
  <si>
    <t>1. 秘鲁黑玛卡 + 专利 PrimaVie® 喜来芝，双核精研强效配方
2. 5 大核心营养协同，激发生殖力与体能峰值
3. 权威研究背书，安全有效守护男士健康</t>
  </si>
  <si>
    <t>“玛卡”是一种十字花科两年生草本植物，不仅含有丰富的蛋白质、维生素、矿物质等营养成分，还含有丰富的玛卡生物碱、硫代葡萄糖苷、挥发油、甾醇、多酚和玛卡烯等次生代谢产物。喜来芝是一种浅棕色至黑棕色的渗出物，从世界各地的沉积岩中渗出。纯化的喜来芝在印度本土医学体系阿育吠陀中用于治疗多种疾病，特别是慢性疾病。它是古代阿育吠陀药物学中的重要药物，至今仍被阿育吠陀医生广泛用于治疗各种疾病。
营养工厂采用秘鲁黑玛卡和 PrimaVie® 专利喜来芝，每 2 片含有PrimaVie® 喜来芝提取物 200mg，L-精氨酸 150mg、L-瓜氨酸 95mg、秘鲁玛卡提取物 66.6mg、番茄提取物 40mg、酵母锌 53.32mg、酵母硒 16.66mg。
每日 2 粒，每月 169 元可获得与市面 400-600 元市面同品质的原料配方，兼具专业性与经济性。</t>
  </si>
  <si>
    <t>原料：秘鲁黑玛卡 + 专利 PrimaVie® 喜来芝,双核精研强效配方
配方：L-精氨酸 150mg、L-瓜氨酸 95mg、秘鲁玛卡提取物 66.6mg、番茄提取物 40mg、酵母锌 53.32mg、酵母硒 16.66mg营养协同</t>
  </si>
  <si>
    <t>1. PrimaVia 是一种纯化的、专利喜来芝提取物，多项临床证明其可提升睾酮、促进生殖力及支持肌肉修复和再生。
2. 来自喜马拉雅山的纯化喜来芝含有二苯并-α-吡喃酮 (DBP)、DBP-色素蛋白 (DCP)、黄腐酸和 40 种矿物质，重金属含量极低，这些物质协同作用可带来众多健康益处。印度河流域的文明已经使用喜来芝超过 5000 年。</t>
  </si>
  <si>
    <t>PrimaVia®  专利喜来芝</t>
  </si>
  <si>
    <t>image9.jpeg</t>
  </si>
  <si>
    <t>喜来芝 primavie授权.pdf</t>
  </si>
  <si>
    <t>喜来芝采购证明.pdf</t>
  </si>
  <si>
    <t>美国喜来芝皮肤微灌注改善专利：US20190388322A1 Improvement of blood microperfusion to skin by shilajit.pdf
澳大利亚喜来芝肌肉修复与胶原相关专利：AU2021200959B2 Promoting muscle building and repair and treatingdisorders related to collagen and pertinent proteins byusing shilajit.pdf</t>
  </si>
  <si>
    <t>GRASStatement_PrimaVie_20717816_18122024.pdf</t>
  </si>
  <si>
    <t>Clinical evaluation of spermatogenic activity of processed Shilajit in oligospermia.pdf</t>
  </si>
  <si>
    <t>瑞普斯</t>
  </si>
  <si>
    <t>Natreon（现为 Kerry 集团旗下品牌）是一家专注于科学验证的阿育吠陀植物提取物供应商，提供专利保护的品牌化植物成分，主要服务于膳食补充剂、功能性食品饮料行业。Natreon通过临床研究及专利保护，提供了可信的健康益处（如减压、认知支持、心血管健康、关节保护），助力品牌快速响应消费者对“科学背书天然成分”的需求，解决了传统植物提取物缺乏临床证据与标准化的短板。
Natreon 与普通植物提取物供应商的核心差异，在于其专利保护 + 临床证据双驱动的核心模式：拥有多项美国及国际专利的专属提取工艺，从技术层面保障活性成分含量与品质达到最优标准；旗下核心产品亦均为专利品牌成分，其中 PrimaVie® 经 8 项临床研究验证，可有效赋能能量提升与抗衰养护。
https://www.kerry.com/about/news-and-media/2022/kerry-completes-acquisition-of-science-backed-branded-botanical-extract-company-natreon</t>
  </si>
  <si>
    <t>备孕：硒和 N-乙酰半胱氨酸可改善精子质量，对男性不育治疗有益 https://www.auajournals.org/doi/full/10.1016/j.juro.2008.10.015 IF：6.8
肌肉：8 周补充 500mg/d 的喜来芝玛卡可促进肌肉力量保持和胶原蛋白健康 https://link.springer.com/article/10.1186/s12970-019-0270-2 IF：3.9
性生活：喜来芝玛卡能显著提高健康志愿者的睾酮水平 https://doi.org/10.1111/and.12482 IF：2</t>
  </si>
  <si>
    <t>肌肉：https://link.springer.com/article/10.1186/s12970-019-0270-2 IF：3.9
性生活：https://onlinelibrary.wiley.com/doi/10.1111/j.1439-0272.2008.00892.x IF：2
备孕：https://www.auajournals.org/doi/full/10.1016/j.juro.2008.10.015 IF：6.8
备孕：https://obgyn.onlinelibrary.wiley.com/doi/full/10.1111/j.1479-828X.2007.00723.x IF：1.7</t>
  </si>
  <si>
    <t>DHA 藻油
DHA ALGAE OIL</t>
  </si>
  <si>
    <t>DHA 是大脑与视网膜发育必需的脂肪酸，但人体合成效率极低。
特别是素食者或不常吃深海鱼的人群，极易缺乏 DHA。
补充藻油就是补充纯净且无重金属污染的 DHA。</t>
  </si>
  <si>
    <t>1. 100% DHA 藻油，浓度 40% 高于行业标准，优质深海裂壶藻，腥味淡更安全纯净
2. Life’sDHA™ FDA/GRAS 认证，cGMP 全链封闭生产，品质可追溯
3. 全球 200+ 临床研究，提升儿童认知、注意力与视力发育</t>
  </si>
  <si>
    <t>DHA 藻油是一种从海藻中提取的 ω-3 脂肪酸，关键构成大脑和视网膜的重要结构成分。DHA 藻油能够改善神经功能、支持认知健康和视力发展，同时对心血管系统和炎症调节具有积极作用。
营养工厂的 Life's DHA ® 专利藻油 藻油选取自优质裂壶藻，每粒 DHA 浓度高达 40%，可以实现促进婴幼儿神经发育、促进视网膜发育、促进胎儿身体的生长发育等多种健康益处。
每日 1 粒，每月 44.5 元即可获得与市面 800-1600 元市面同品质的原料配方，兼具专业性与经济性。</t>
  </si>
  <si>
    <t>原料：Life's DHA ® 专利藻油
浓度：40% 高浓度</t>
  </si>
  <si>
    <t>200 + 项人体临床研究：证实其安全性与健康益处，覆盖孕妇、婴幼儿、儿童、成人及老年人全生命周期，是全球 DHA 领域临床研究最多的藻油品牌
99% 美国婴幼儿配方奶粉选用：全球每年有1 亿 + 婴幼儿食用含 Life's DHA® 的配方奶粉，美国市场 99% 的婴幼儿奶粉添加该藻油，验证其婴幼儿应用的安全性
40% 高 DHA 浓度：Life's DHA™ S40-O400 型号藻油 DHA 含量≥400mg/g（即 40%），高于行业 35% 的平均标准，且 EPA 含量极低
3000 + 藻种筛选：从帝斯曼 “微藻博物馆” 的 3000 多种活微藻中精选寇氏隐甲藻、裂壶藻，确保原料优质
采用专利发酵技术，在封闭可控的发酵罐中培育微藻，全程氮保护防氧化，且储存运输全程冷冻，实现全链可追溯
600 + 全球应用产品：被用于全球超 600 种健康食品，包括惠氏、美素力、雅培等知名婴幼儿奶粉，及 Swisse、One A Day 等孕婴保健品
原料通过 FDA GRAS 认证：率先通过美国 FDA 认证，且是唯一通过 FDA 食品最高级别 GRAS 安全认证的植物型 DHA，可直接作为食品成分
8000 万 + 受益婴幼儿：全球累计超 8000 万婴幼儿通过配方奶粉摄入 Life's DHA®，市场覆盖中、美、欧、日等核心地区
100% 植物来源：素食者可食用，且不含鱼过敏原，原料通过 Halal 和 Kosher 认证，覆盖更广泛人群</t>
  </si>
  <si>
    <t>image17.jpeg</t>
  </si>
  <si>
    <t>2026CT00025 Final TLA MRS life'sDHA UDA TRADING LIMITED.pdf</t>
  </si>
  <si>
    <t>img_v3_02or_469be349-140c-4e9a-9b31-a06d7fb1f46g.jpg</t>
  </si>
  <si>
    <t>Unipharm Healthy Manufacturing Co. Limited：FDA、 HACCP、GMP、RMP</t>
  </si>
  <si>
    <t>帝斯曼-芬美意一家全球顶尖的营养、健康与美容创新企业。该公司于2023年由荷兰皇家帝斯曼和瑞士芬美意合并而成，现为瑞士-荷兰双总部上市公司。其 life'sDHA® 品牌采用可持续藻类直接发酵生产纯植物来源 DHA，避免鱼油潜在污染物，提供高纯度、素食友好型 Omega-3，支持孕产妇及婴幼儿脑眼发育与整体健康，已广泛应用于母婴营养补充剂中。</t>
  </si>
  <si>
    <t>神经：高剂量 DHA 喂养对早产儿神经发育有积极影响，尤其对女婴 https://jamanetwork.com/journals/jama/fullarticle/183204 IF：63.1
认知：24 个月每日口服 2 克藻油 DHA 可改善轻度认知障碍患者认知功能 https://jnnp.bmj.com/content/89/4/382 IF：7.5
脑部：ARA 和 DHA 补充剂能改善早产儿大脑白质成熟度 https://pubmed.ncbi.nlm.nih.gov/38061271/ IF：7.4
备孕：高剂量 DHA 补充显著降低早产率，尤其在低基线 DHA 水平的孕妇中 https://pmc.ncbi.nlm.nih.gov/articles/PMC10546372/ IF：7.4
身高、发育：DHA 补充剂可延长妊娠期、增加新生儿体重和长度 https://www.sciencedirect.com/science/article/pii/S0002916523054758?via%3Dihub#abs0005 IF：7.09
记忆力：DHA 补充改善健康年轻成人记忆及反应时间 https://pubmed.ncbi.nlm.nih.gov/23515006/ IF：7.09
吸收、安全性：藻油 DHA 补充剂能显著提高囊肿纤维化患者体内 DHA 水平 https://pubmed.ncbi.nlm.nih.gov/16226012/ IF：4.8
抗炎：DHA 补充可减轻哺乳期炎症相关基因表达，改善乳汁质量 https://pubmed.ncbi.nlm.nih.gov/35199834/ IF：4.8
吸收：多维营养素和 DHA 补充显著改善孕妇 DHA 和维生素 D 水平 https://pubmed.ncbi.nlm.nih.gov/32823606/ IF：4.8
血脂：EPA+DHA 改善高胆固醇成人血脂和炎症状态 https://onlinelibrary.wiley.com/doi/10.1002/mnfr.201801157 IF；4.5
注意力：孕期补充藻油 DHA 可提高婴儿注意力，维持高水准的持续注意力 https://pmc.ncbi.nlm.nih.gov/articles/PMC5164926/#S5 IF：3.7</t>
  </si>
  <si>
    <t>神经：https://jamanetwork.com/journals/jama/fullarticle/183204 IF：63.1</t>
  </si>
  <si>
    <t>备孕：https://pmc.ncbi.nlm.nih.gov/articles/PMC10546372/ IF：7.4
身高、发育：https://www.sciencedirect.com/science/article/pii/S0002916523054758?via%3Dihub#abs0005 IF：7.09
抗炎：https://pubmed.ncbi.nlm.nih.gov/35199834/ IF：4.8
吸收：https://pubmed.ncbi.nlm.nih.gov/32823606/ IF：4.8
注意力：https://pmc.ncbi.nlm.nih.gov/articles/PMC5164926/#S5 IF：3.7</t>
  </si>
  <si>
    <t>神经：https://jamanetwork.com/journals/jama/fullarticle/183204 IF：63.1
脑部：https://pubmed.ncbi.nlm.nih.gov/38061271/ IF；7.4</t>
  </si>
  <si>
    <t>R-硫辛酸
R-LIPOIC ACID</t>
  </si>
  <si>
    <t>life extension 超级硫辛酸</t>
  </si>
  <si>
    <t>R-硫辛酸是兼具水溶性与脂溶性的万能抗氧化剂，但人体自身合成量极少。
随着代谢变慢，很多人体内累积的自由基无法被有效清除。
补充 R-硫辛酸就是补充高活性的代谢抗氧化剂。</t>
  </si>
  <si>
    <t>1. 100% 高纯右旋 R-硫辛酸
2. 天然同源，吸收快、利用高、温和不刺激
3. 糖氧双抗-阻击自由基，焕活多种抗氧化物</t>
  </si>
  <si>
    <t>硫辛酸，又名 ɑ-硫辛酸，是一种细胞内天然存在的强效抗氧化剂，在人体内担任重要角色，尤其是在能量代谢和抗氧化防御系统中。硫辛酸是目前已知唯一的同时在脂溶性和水溶性环境中都能发挥抗氧化性能的物质，被医学界誉为“万能抗氧化剂”。硫辛酸在机体内能够恢复维生素 E、谷胱甘肽等内源性抗氧化剂的能力，从而提升机体的整体抗氧化能力。
营养工厂的硫辛酸采用100% 高纯右旋 R-硫辛酸，具有天然同源，吸收快、利用高、温和不刺激的特点。每粒含有 R-硫辛酸 300mg，可以实现控制血糖、促进糖代谢、肌肤焕活美白提亮、改善认知障碍等多种健康益处。
每日 1 粒，每月 44.5 元即可获得与市面 1200-1600 元市面同品质的原料配方，兼具专业性与经济性。</t>
  </si>
  <si>
    <t>形式：右旋硫辛酸吸收好
纯度：100%
含量：300mg</t>
  </si>
  <si>
    <t>GMP Nutrition Enterprises Inc.：FDA、cGMP</t>
  </si>
  <si>
    <t>苏州富士莱医药股份有限公司是一家成立于2000年的国内医药与健康原料制造企业，总部位于江苏省苏州市常熟新材料产业园。公司通过持续技术积累与质量管理投入，已成为国内外硫辛酸原料药与营养级原料供应的重要制造商之一。</t>
  </si>
  <si>
    <t>减重： 长期补充 (R)-α-硫辛酸可促进超重或肥胖成人减重 https://doi.org/10.1093/jn/nxaa203 IF：4.2</t>
  </si>
  <si>
    <t>神经：https://www.annalsofoncology.org/article/S0923-7534(19)53274-4/fulltext IF：65.4
减重：https://www.nature.com/articles/nm1061 IF：50（动物）</t>
  </si>
  <si>
    <t>护肤：含 α- 硫辛酸的立方液晶分散体凝胶，具有抗皱、改善肤质等效果且安全 https://pubmed.ncbi.nlm.nih.gov/24056055/ IF：4.3</t>
  </si>
  <si>
    <t>α-酮戊二酸
AKG</t>
  </si>
  <si>
    <t>Nutricot AKG</t>
  </si>
  <si>
    <t>AKG 是能量代谢的关键中间体，其水平随年龄增长急剧下降。
甚至在 40 岁后，人体内的 AKG 含量仅为年轻时的几分之一。
补充 AKG 就是补充延缓身体与骨骼衰老的代谢信号。</t>
  </si>
  <si>
    <t>1. 包膜颗粒技术 AKG，缓释温和好吸收
2. 绿色生物发酵，天然纯净更安心
3. 支持健康代谢</t>
  </si>
  <si>
    <t>AKG 是一种有机酸，是细胞生命周期基本中心代谢不可或缺的一部分。三羧酸循环的这种中间体在能量供应以及碳和氮代谢中起着重要作用。它在细胞能量代谢、氨基酸合成、胶原蛋白合成、表观遗传调控、肝细胞分化、生育和生殖健康以及癌细胞行为中起着至关重要的作用。
营养工厂的 AKG 选用的是包膜颗粒技术的 AKG，来自生物发酵提取，每 2 粒含有 AKG 1000mg，可以实现抗衰延寿、骨骼肌肉养护、免疫调节等多种健康益处。
每日 2 粒，每月 37 元即可获得与市面 800-1600 元市面同品质的原料配方，兼具专业性与经济性。</t>
  </si>
  <si>
    <t>来源：生物发酵法
工艺：包膜颗粒技术温和缓释</t>
  </si>
  <si>
    <t>骨骼：α-酮戊二酸钙盐可降低绝经后骨质疏松前期女性血清 CTX 水平，有助于维持骨量 https://pubmed.ncbi.nlm.nih.gov/17896582/ IF；2.5</t>
  </si>
  <si>
    <t>抗衰：https://doi.org/10.18632/aging.203736 IF；42.5
免疫力：https://pubmed.ncbi.nlm.nih.gov/32877686/ IF：30。9
抗炎：https://pubmed.ncbi.nlm.nih.gov/32877690/ IF：30.9</t>
  </si>
  <si>
    <t>《Pylopass与幽门螺杆菌白皮书》_学术发布版 0528(1).pdf
1  Mehling 2013_Non-Viable Lactobacillus reuteri DSMZ 17648 (Pylopass™) as a New Approach_to_Helicobacter_pylori_Control_in_Humans.pdf
2  Bordin D.S. et al 2014 The efficiency and safety of probioticbacteria Lactobacillus reuteri DSMZ 17648 in patients infected with HP.pdf
3  Holz et al. 2014_Significant Reduction in Helicobacter pyloriLoad in Humans with Non-viable Lactobacillus reuteri DSM17648 A PilotStudy.pdf
4  Parolova_et_al 2015 An innovative approach in the treatment ofH. pylori infection in children translated.pdf
5  Uspensky_Helinorm_Evolution in eradication therapy of HP-associated diseases study_Gastroenterology17_2016_EN02_CH.pdf
6  Buckley et al 2018_The effect of Lactobacillus reuterisupplementation in Helicobacter pylori infection a.pdf
7  Mihai et al 2019 L reuteri - an alternative in the first-line ofH pylori eradication.pdf
8  Parolova 2019 Gastric microbiota and probiotic opportunities inH. pylori eradication in children EHMSG poster.pdf
9  Pop Muresan_et al 2019_ L reuteri versus triple therapy for theeradiction of HP in dyspesia_MedPharmReport.pdf
10  Kornienko et al. 2020 Gastric opportunities in HP eradicationhelicobacter pylori eradication in children.pdf
11 Parth K_2021_Efficacy L reuteri _triple therapy_eradication_JPRI.pdf
12 Nooshin Naghibzadeh，et al.2022.pdf
13 Ismail et al., 2023.docx
14 Ivashkin et al., Clin Transl Gastroenterol. 2024.pdf
19.1诺和新元后生元-Pylopass™罗伊氏粘液乳杆菌.pdf</t>
  </si>
  <si>
    <t>养胃益生菌针对幽门螺杆菌及胃黏膜修复，而现代饮食容易破坏菌群平衡。许多人饱受胃胀、消化不良及有害菌超标的困扰。补充养胃益生菌就是补充维护胃部环境的特定有益菌。</t>
  </si>
  <si>
    <t>1. 丹麦诺维信 Pylopass™ 专利菌株，全球酶与微生物技术领导者，品质与科研实力保障
2.  200 亿临床实验剂量，专业护胃菌
3.  6 国 12 项临床研究、951 名受试者验证，可安全缓解胃部不适</t>
  </si>
  <si>
    <t>罗伊氏乳杆菌隶属于乳酸杆菌属，是一种天然益生菌，广泛存在于自然界及人体微生态系统中，具备黏附幽门螺杆菌、维护肠道屏障完整性、缓解胃肠道不适等多重健康功效。
营养工厂选用的罗伊氏乳杆菌，源自丹麦诺维信专利菌株 Pylopass™（DSM17648）。该菌株经临床验证，可有效降低儿童及成人的幽门螺杆菌感染负荷，改善各类胃肠道不适，还能调节肠道菌群结构、助力肠道微生态平衡。同时复配锌肌肽、L - 谷氨酰胺等成分，进一步强化黏膜保护作用。
每日 1 粒，每月 92.5 元可获得与市面 700-800 元市面同品质的原料配方，兼具专业性与经济性。</t>
  </si>
  <si>
    <t>高含量：200 亿
成分：4大养胃成分协调增效
（锌+肌肽：巩固胃屏障,提高排出效率
L-谷氨酰胺：养护胃黏膜,加强功能修复
榆木提取物：均衡胃酸环境,改善肠道微生物群
乳香提取物：深度舒缓,缓解炎症因子）
技术：微囊包裹技术 3 倍保护菌株稳定性</t>
  </si>
  <si>
    <t>Pylopass™ （罗伊氏粘液乳杆菌 DSMZ 17648）是针对胃部幽门螺杆菌的安全、自然解决方案。罗伊氏粘液乳杆菌（原罗伊氏乳杆菌）的安全性被欧盟认定具有“安全资格认定”（QPS）状态。Pylopass™也获得了美国食品药品管理局（FDA）授予的“一般认为安全” （GRAS）认证。
临床验证力强：6 国 12 项试验 + 951 人实证（覆盖德国、爱尔兰、俄罗斯、罗马尼亚、中国、印度 6 个国家，累计开展 12 次临床试验，951 名受试者验证其安全性与功效性）。
作用机理：可特异性识别幽门螺杆菌表面蛋白，形成共聚物排出体外，直接减少胃内幽门螺杆菌负荷量。
Pylopass™也有助于为幽门螺杆菌感染者提供营养健康支持，包括：减少幽门螺杆菌感染者的胃部和肠道不适、保护胃黏膜、舒缓胃部/肠道不适、支持消化健康和微生物菌群健康。
安全性：低副作用 + 全人群适配（覆盖儿童（9-17 岁）至 60 + 岁人群）
产业背书：自诺维信和科汉森两家头部生物制药原料企业+ 30 国销售（来自全球酶制剂龙头诺维信（4000 + 项专利），菌株及工艺获欧美中日等多国专利授权。已在30 多个国家和地区销售，室温稳定性良好）。</t>
  </si>
  <si>
    <t>Pylopass™ 专利罗伊氏乳杆菌</t>
  </si>
  <si>
    <t>image11.jpeg</t>
  </si>
  <si>
    <t>PTMLA_PYLOPASS_营养工厂-signed.pdf</t>
  </si>
  <si>
    <t>Pylopass GRAS Statement.pdf</t>
  </si>
  <si>
    <t>Pylopass Strain Safety Information.pdf</t>
  </si>
  <si>
    <t>诺维信是总部位于丹麦哥本哈根的全球领先生物技术公司，2000 年正式成立，历史可追溯至 1925 年，作为全球领先的工业酶制剂与微生物制剂生产商，长期以生物解决方案赋能工业生产、环境保护与人类健康，业务覆盖洗涤剂、纺织、食品、饲料、生物能源、废水处理等领域，助力高效绿色生产；旗下诺维信 OneHealth 专注人类健康领域，秉持 “亿万挑一・守护健康” 理念，聚焦肠胃、情绪认知、代谢、免疫、口腔、女性及婴幼儿健康等方向，依托 Pylopass™ 等临床验证菌株，提供从菌株研发、配方设计到生产销售的一站式科学健康解决方案。
科汉森则是 1874 年创立于丹麦、拥有超 150 年历史的全球知名生物科技企业，凭借约 4 万株全球顶级菌株库与强大研发实力，长期位居全球益生菌原料领域前列，专注益生菌、培养物、酶、天然色素、人乳寡糖等天然成分研发，产品广泛应用于乳制品、膳食补充剂、婴幼儿配方食品、植物基产品及农业领域。
2024 年 1 月，诺维信与科汉森完成战略合并，组建全球生物解决方案领军企业 Novonesis，整合双方在酶制剂、微生物、益生菌及天然健康成分领域的技术与资源，持续深耕食品、健康与农业赛道，以生物科技应对食品、健康与环境领域的核心挑战。</t>
  </si>
  <si>
    <t>胃肠道：乳杆菌 DSMZ17648 可显著降低幽门螺杆菌载荷 https://www.mdpi.com/2072-6643/5/8/3062 IF：5
肠道：本研究显示，CASP补充剂能显著缩短成人急性腹泻恢复时间 https://www.mdpi.com/2072-6643/14/9/1858 IF：5</t>
  </si>
  <si>
    <t>胃肠道：https://pubmed.ncbi.nlm.nih.gov/24579935/ IF：2.4
胃肠道：https://pubmed.ncbi.nlm.nih.gov/20626584/ IF：2.4</t>
  </si>
  <si>
    <t>专利-EP_3746054_B1.pdf
Berbevis 临床改善临界高脂血症-borderline hyperlipidemiC profile in asymptomatic prevention of early atherosclerosis.pdf
Berbevis 临床改善临界高脂血症高无药物相互作用高安全性和耐受性Non-Interactions of Berberine Supplementation.pdf
Berbevis 临床改善血糖-Berberine Phospholipid exerts a positive effect on the glycemic profile of overweight subjects - Rondanelli .pdf
Berbevis 临床改善PCOS-Berberine Phospholipid Is an Effective Insulin Sensitizer in women with PCOS.pdf
Berbevis 临床Berbevis预防早期动脉粥样硬化进展Borderline hyperlipidemia preventive supplementation with berberine phospholipids to prevent early atherosclerosis evolution.pdf
Berbevis 药代动力学研究-Development of an Innovative Berberine Food-Grade formulation with ameliorated absorption.pdf
Berbevis临床对多囊卵巢综合征女性生殖、皮肤和代谢特征的影响：一项对照、随机、多中心、开放标签临床试验.pdf</t>
  </si>
  <si>
    <t>小檗碱是天然的代谢调节剂，能激活 AMPK 通路，但难以从日常饮食中获取。现代高糖饮食导致许多人面临血糖波动与代谢综合征风险。补充小檗碱就是补充通过植物力量管理的血糖健康。</t>
  </si>
  <si>
    <t>1. Indena  Berbevis® 小檗碱专利组合物，生物利用度约为普通小檗碱的 10 倍
2. Berbevis® 荣获 “2025 年全球营养配料奖植物类年度最佳原料大奖”
3. 多篇临床数据支持，辅助身材管理，支持健康糖脂代谢</t>
  </si>
  <si>
    <t>小檗碱（又称黄连素），是天然存在的异喹啉类季铵生物碱，主要取自黄连、黄柏、小檗等传统中药。它临床应用历史悠久，核心功效为抗菌与止泻，近年因在降糖、调脂、改善代谢方面展现出显著潜力，被称作“植物来源的代谢调节新星”。
营养工厂采用 Indena 专利 Bebevis® 小檗碱（标准化含量 28%~34%），搭配其 PHYTOSOME® 配方，既能高效提升胃肠道溶解度与生物利用度，又具备黏膜刺激性小、长期耐受性佳的优势。
每日 1 粒，每月 61.8 元可获得与市面 300-700 元市面同品质的原料配方，兼具专业性与经济性。</t>
  </si>
  <si>
    <t>专利：Berbevis® 小檗碱复合物为专利复合配方（具芒小檗提取物 + 豌豆蛋白 + 葡萄籽提取物）
技术：搭载 Phytosome® 技术,有效提高小檗碱生物利用度约 10 倍
天然：纯天然植物提取
副作用小：Berbevis® 中复配葡萄籽提取物可以保护胃肠粘膜免受小檗碱导致的胃肠道副作用的影响从而优化其耐受性</t>
  </si>
  <si>
    <t>1. Berbevis® 小檗碱复合物：专利复合配方（具芒小檗提取物 + 豌豆蛋白 + 葡萄籽提取物），搭载 Phytosome® 技术，有效提高小檗碱生物利用度 10 倍*。*相比较盐酸小檗碱，Berbevis® 小檗碱复合物吸收率大约高 10 倍（9.6）（基于等量有效小檗碱摄入）
2. 多国专利：涵盖中国、美国、日本、韩国、澳大利亚、欧洲等；
3. 7篇临床：验证了Berbevis®在代谢健康（体重控制、血糖管理、血脂控制、）心血管功能、卵巢健康方面的显著功效，验证了其安全性和耐受性，是目前市场上临床支持度最高且商业价值最显著的小檗碱成分之一。
4. 营养成分大奖：美国2025 NutraIngredients——植物制剂金奖；
5.原料精选：采用印度阿育吠陀药典官方品种-具芒小檗根部提取而来，溶解度优于纯小檗碱。</t>
  </si>
  <si>
    <t>image18.jpeg</t>
  </si>
  <si>
    <t>TMLA United To Defeat Aging Limited_L 121-2025 Final.doc.pdf</t>
  </si>
  <si>
    <t>CN_111787909_B.pdf</t>
  </si>
  <si>
    <t>Berbevis 药代动力学研究和安全性耐受性研究-Development of an Innovative Berberine Food-Grade formulation with ameliorated absorption.pdf</t>
  </si>
  <si>
    <t>2025 年美国营养配料大奖（NutraIngredients USA Awards 2025）年度植物原料（Ingredient of the Year: Botanical）获奖证书：NIUawards25 - Certificate - WINNER - ING Botanical.pdf</t>
  </si>
  <si>
    <t>抗癌：小檗碱 0.3g 每日两次可降低结直肠腺瘤复发风险 https://pubmed.ncbi.nlm.nih.gov/31926918/ IF：38.6
血糖：小檗碱和益生菌对 2 型糖尿病有降糖效果，但益生菌单独效果不显著 https://pubmed.ncbi.nlm.nih.gov/33024120/ IF：15.7
血脂：小檗碱对 2 型糖尿病患者具有显著降糖和改善血脂代谢的功效 https://pubmed.ncbi.nlm.nih.gov/18442638/ IF：11.9
皮肤：黄连素植物体可改善多囊卵巢综合征患者的生殖、皮肤和代谢特征 https://pubmed.ncbi.nlm.nih.gov/38074133/ IF：11
心脏：小檗碱可降低术后房颤发生率，减轻炎症反应 https://pubmed.ncbi.nlm.nih.gov/36178742/ IF：9.8
抗炎：小檗碱通过 AMPK/mTOR 途径减少心肌自噬和凋亡，保护心脏 https://pubmed.ncbi.nlm.nih.gov/30021340/ IF：7.5
肺部：小檗碱能显著降低放射性肺损伤发生率，改善肺功能 https://pubmed.ncbi.nlm.nih.gov/18789680/ IF：7.1
减重：补充小檗碱可减轻抗精神病药物相关体重增加和代谢综合征 https://pubmed.ncbi.nlm.nih.gov/34931749/ IF：6.2
肠道：小檗碱可调节由奥氮平引起的轻度代谢紊乱患者的肠道菌群 https://pubmed.ncbi.nlm.nih.gov/34961418/ IF：5.5
血压：小檗碱改善肥胖患者体成分、血压及脂肪因子表达 https://pubmed.ncbi.nlm.nih.gov/39064727/ IF：5
神经：小檗碱治疗可显著改善精神分裂症患者的阴性症状 https://pubmed.ncbi.nlm.nih.gov/35037116/ IF：3.7
肝脏：小檗碱治疗 NAFLD 效果显著，可改善代谢紊乱 https://pubmed.ncbi.nlm.nih.gov/26252777/ IF：2.6
精力：小檗碱可改善慢性心衰患者心功能、减少室早及降低死亡率 https://pubmed.ncbi.nlm.nih.gov/12860219/ IF：2.1
口腔：小檗碱明胶治疗复发性口疮效果显著，安全无副作用 https://pubmed.ncbi.nlm.nih.gov/23246229/ IF：1.9</t>
  </si>
  <si>
    <t>抗癌、肠道：https://pubmed.ncbi.nlm.nih.gov/31926918/ IF；38.6
血糖、肠道：https://pubmed.ncbi.nlm.nih.gov/33024120/ IF：15.7
血糖、血脂：https://pubmed.ncbi.nlm.nih.gov/18442638/ IF：11.9</t>
  </si>
  <si>
    <t>备孕、皮肤、代谢：https://pubmed.ncbi.nlm.nih.gov/38074133/ IF：11</t>
  </si>
  <si>
    <t>维生素 D3（滴剂）</t>
  </si>
  <si>
    <t>滴卓思 400IU</t>
  </si>
  <si>
    <t>维生素 D3 是调节免疫与骨骼的“阳光维生素”，人体极易因日晒不足而缺乏。据统计全球约有 10 亿人维生素 D 水平不达标。补充 D3 滴剂就是灵活便捷地补充人体必需的维生素 D。</t>
  </si>
  <si>
    <t>1. 滴剂形态，儿童友好，入口轻松无负担
2. 每滴 400IU 维生素 D3，方便灵活调整摄入量，一瓶覆盖全家所需
3. 复配 MCT 油，低敏配方，易消化</t>
  </si>
  <si>
    <t>维生素D3（胆钙化醇）是“阳光维生素”，作用是守护骨骼健康、支撑免疫功能。现代人日照少、饮食摄入有限，缺乏很常见，适量补充D3（尤其是冬天/室内族）是简单有效的健康投资。
营养工厂选用高纯度、配方纯净的维生素 D3 滴剂。每瓶 15ml，约含 428 滴，单滴体积 0.035ml、精准搭载 400 IU 维生素 D3。滴剂剂型服用便捷，剂量灵活可调，使用更省心。
每日 1~4 滴，每月 11.5 元可获得与市面 200-250 元市面同品质的原料配方，兼具专业性与经济性。</t>
  </si>
  <si>
    <t>剂型：滴剂设计,易吞服
肠道友好：复配 MCT 油,低敏配方,易消化
原料： DSM 瑞士进口原料</t>
  </si>
  <si>
    <t>COSMAXNBT, Inc.：FDA、HACCP、GMP、FSSC 22000</t>
  </si>
  <si>
    <t>发育：高剂量维生素 D3 显著改善严重急性营养不良儿童体重和发育指标 https://pubmed.ncbi.nlm.nih.gov/29722846/ IF：7.1
血糖：维生素 D 补充改善胰岛β细胞功能 https://pubs.acs.org/doi/10.1021/acs.jafc.2c05469 IF：6.4
备孕、女性健康：维生素 D3 治疗可改善多囊卵巢综合征患者的卵巢功能和月经周期 https://pmc.ncbi.nlm.nih.gov/articles/PMC11990587/ IF：6
抑郁：维生素 D3 补充显著降低农村青少年抑郁评分 https://pmc.ncbi.nlm.nih.gov/articles/PMC11206973/ IF：6
吸收（非功能）：口服维生素 D3 补充剂能显著提高纯母乳喂养新生儿 4 个月时的 25(OH)D 浓度 https://pmc.ncbi.nlm.nih.gov/articles/PMC9306990/ IF；5.9
神经：高剂量维生素 D3 补充剂能更有效地减轻儿童慢性抽动障碍的抽动严重程度 https://pmc.ncbi.nlm.nih.gov/articles/PMC11912708/ IF：4.9
肌肉：钙β-羟基-β-甲基丁酸和维生素 D3 补充可增强老年人肌肉功能 https://pmc.ncbi.nlm.nih.gov/articles/PMC7566440/#s1 IF：4.8
性生活、抗氧：维生素 D3 补充可改善精子活力和氧化应激指标 https://link.springer.com/article/10.1007/s43032-021-00769-y IF；2.8
抗炎、肠道：维生素 D3 补充可改善 IBS-D 症状及降低 IL-6 水平 https://pubmed.ncbi.nlm.nih.gov/32203968/ IF：1.4</t>
  </si>
  <si>
    <t>骨骼：https://www.nature.com/articles/276517a0 IF：48.5</t>
  </si>
  <si>
    <t>肌肉：https://pmc.ncbi.nlm.nih.gov/articles/PMC7566440/#s1 IF：4.8</t>
  </si>
  <si>
    <t>骨骼：https://link.springer.com/article/10.1007/s00223-018-0481-6 IF：3.9
吸收（非功能）：https://www.sciencedirect.com/science/article/pii/S0960076016300073?via%3Dihub#sec0035 IF：3.2</t>
  </si>
  <si>
    <t>发育：https://pubmed.ncbi.nlm.nih.gov/29722846/ IF：7.1
吸收（非功能）：https://pmc.ncbi.nlm.nih.gov/articles/PMC9306990/ IF：5.9
神经：https://pmc.ncbi.nlm.nih.gov/articles/PMC11912708/ IF：4.9
吸收（非功能）：https://pmc.ncbi.nlm.nih.gov/articles/PMC12125034/#Sec19 IF：2.9</t>
  </si>
  <si>
    <t>性生活、抗氧、备孕：https://link.springer.com/article/10.1007/s43032-021-00769-y IF：2.8</t>
  </si>
  <si>
    <t>褪黑素口溶膜
MELATONIN</t>
  </si>
  <si>
    <t>GNC 闪睡片,升级添加多种舒缓植物提取物成分</t>
  </si>
  <si>
    <t>褪黑素是掌管睡眠节律的激素，其分泌量受光照和年龄影响极大。许多人因睡前蓝光干扰或倒班导致自身褪黑素分泌被抑制。补充褪黑素口溶膜就是补充快速起效的睡眠信号。</t>
  </si>
  <si>
    <t>1. Thinsol™ 专利口溶膜剂型，无水、闪释、深睡快
2. 5mg 褪黑素 + 多种天然植萃
3. 0 糖，睡前一片无负担</t>
  </si>
  <si>
    <t>褪黑素，又称松果体素，是大脑松果体分泌的天然激素，其分泌呈现显著的昼夜节律：白天受光照抑制，分泌量极低；夜间黑暗环境下大量分泌，凌晨 2-4 点达到峰值，核心作用是调节人体生物钟。
营养工厂选用的褪黑素，采用 Thinsol™ 专利口溶膜剂型，实现 100% 生物利用度，入口即溶、快速释放。同时复配薰衣草提取物、缬草提取物、洋甘菊提取物等天然舒缓成分，协同增效，强化助眠效果，为优质睡眠保驾护航。
每日 1 片，每月 79 元可获得与市面 170-200 元市面同品质的原料配方，兼具专业性与经济性。</t>
  </si>
  <si>
    <t>含量：5mg 褪黑素
配方：褪黑素 + 多种天然植萃（薰衣草提取物20mg、缬草提取物 50mg、洋甘菊提取物 10 mg、木槿提取物 10mg）
专利：Thinsol™ 专利闪释片技术,高生物利用度
填充辅料：少,0 糖,0 香精</t>
  </si>
  <si>
    <t>Thinsol™ 专利闪释片技术
1.采用口腔黏膜吸收技术，搭配纳米及纳米封装工艺，生物利用度远高于传统口服剂型，小剂量即可实现高效吸收。
2.体积小巧便携可放钱包，无需用水送服，口腔快速溶解，无吞咽负担，适配多场景服用需求。
3.能遮盖活性成分苦味，口感友好。</t>
  </si>
  <si>
    <t>Thinsol™ 专利闪释片技术（非专利原料）</t>
  </si>
  <si>
    <t>Aavishkar 是全球口腔速溶薄膜（OTFs）领域的领头者，由生物技术专家 Dinesh A.R. 领衔创立，深耕制药行业逾十年。公司业务覆盖北美、欧洲、亚太等 25 余个国家，已与多家知名品牌建立深度协同关系。
其自研的 ThinSol® 专利技术基于微囊化原理，以水基工艺与低温干燥专利方法精准封装活性成分，突破了传统剂型对热敏成分（益生菌、酶等）的破坏限制，并可绕过首过代谢显著提高生物利用度。这一技术体系直面的，是行业两大公认痛点：45% 消费者对药片吞咽抗拒，60% 传统辅料为非治疗性成分。ThinSol® 以"无需咀嚼、无需水、无糖、无痛"精准解决上述难题，填补了高依从性口服剂型的关键缺口——这一突破已获 4 项核心专利支撑，另有多项临床试验持续推进。从配方开发到包装交付，Aavishkar 以 360° 全链条能力赋能全球合作伙伴。
https://aavishkar.com/</t>
  </si>
  <si>
    <t>睡眠：褪黑素改善睡眠质量及血清褪黑素水平优于耳塞眼罩 https://ccforum.biomedcentral.com/articles/10.1186/s13054-015-0842-8 IF：9.3
神经：褪黑素能显著改善无反应觉醒综合征患者的昏迷恢复量表评分 https://bmcmedicine.biomedcentral.com/articles/10.1186/s12916-024-03793-2 IF：8.3
抗炎：褪黑素可显著降低术后炎症标志物水平，减少心肌损伤，改善术后恢复质量 https://link.springer.com/article/10.1007/s10495-024-02040-6 IF：8.1
心血管：口服褪黑素能减轻急性心理应激下的促凝血反应 https://onlinelibrary.wiley.com/doi/epdf/10.1111/j.1600-079X.2007.00535.x IF：6.3
免疫力：口服褪黑素可显著改善重症 COVID-19 患者临床状态 https://pmc.ncbi.nlm.nih.gov/articles/PMC9676876/pdf/10787_2022_Article_1096.pdf IF：5.3
备孕：褪黑素可改善卵巢储备低女性的 IVF 结果，降低卵泡氧化应激 https://ovarianresearch.biomedcentral.com/articles/10.1186/s13048-024-01584-0 IF：4.2
焦虑：术前使用褪黑素和可乐定能减轻术后疼痛和焦虑，减少吗啡用量 https://pubmed.ncbi.nlm.nih.gov/19010741/ IF：4
抗炎：术后给予 5mg 和 10mg 的褪黑素可显著改善心脏功能，降低氧化应激和炎症 https://eurjmedres.biomedcentral.com/articles/10.1186/s40001-025-02789-9 IF：3.4
心脏：褪黑素可适度降低 POTS 患者站立时的心率 https://pubmed.ncbi.nlm.nih.gov/24495468/ IF：3.4
镇痛：术前一小时口服 6 mg 褪黑素或 2 g 维生素 C 可减轻术后疼痛 https://pmc.ncbi.nlm.nih.gov/articles/PMC7029201/ IF：3.4
血糖、血压、血脂：褪黑素可减轻第二代抗精神病药物的代谢副作用 https://pubmed.ncbi.nlm.nih.gov/28847468/ IF:3.4
记忆力：褪黑素可提升压力下对象识别记忆准确性 https://pubmed.ncbi.nlm.nih.gov/18853147/ IF：3.3</t>
  </si>
  <si>
    <t>备孕、抗氧：https://ovarianresearch.biomedcentral.com/articles/10.1186/s13048-024-01584-0 IF：4.2
睡眠：https://pubmed.ncbi.nlm.nih.gov/24718775/ IF：3
睡眠：https://pubmed.ncbi.nlm.nih.gov/26414973/ IF：2.9</t>
  </si>
  <si>
    <t>心血管：https://onlinelibrary.wiley.com/doi/epdf/10.1111/j.1600-079X.2007.00535.x IF：6.3
记忆力：https://pubmed.ncbi.nlm.nih.gov/18853147/ IF：3.3</t>
  </si>
  <si>
    <t>维生素 D3（软胶囊）</t>
  </si>
  <si>
    <t>naturewise 2000IU</t>
  </si>
  <si>
    <t>维生素 D3 是维持钙磷代谢与免疫功能的基石，但食物来源非常稀缺。现代室内生活方式导致大部分人群难以维持最佳 D3 血液浓度。补充 D3 软胶囊就是稳定高效地补充必需维生素 D。</t>
  </si>
  <si>
    <t>1. 超小粒子，入口轻松易吞服
2. 每粒 2000IU 维生素 D3，一小粒满足成人每日所需
3. 复配橄榄油，提高维生素生物可及性，易吸收</t>
  </si>
  <si>
    <t>维生素D3（胆钙化醇）是“阳光维生素”，作用是守护骨骼健康、支撑免疫功能。现代人日照少、饮食摄入有限，缺乏很常见，适量补充D3（尤其是冬天/室内族）是简单有效的健康投资。
营养工厂选用高纯度、配方纯净的维生素 D3 软胶囊，每瓶 360 粒，每粒精准含 2000 IU 维生素 D3。产品复配有机橄榄油，有效提升维生素的生物利用度，且胶囊体积小巧，吞咽更轻松。
每日 1 粒，每月 9.85 元可获得与市面 150-200 元市面同品质的原料配方，兼具专业性与经济性。</t>
  </si>
  <si>
    <t>配方：复配有机橄榄油,提高维生素生物可及性</t>
  </si>
  <si>
    <t>发育：高剂量维生素 D3 显著改善严重急性营养不良儿童体重和发育指标 https://pubmed.ncbi.nlm.nih.gov/29722846/ IF：7.1
血糖：维生素 D 补充改善胰岛β细胞功能 https://pubs.acs.org/doi/10.1021/acs.jafc.2c05469 IF：6.4
备孕、女性健康：维生素 D3 治疗可改善多囊卵巢综合征患者的卵巢功能和月经周期 https://pmc.ncbi.nlm.nih.gov/articles/PMC11990587/ IF：6
抑郁：维生素 D3 补充显著降低农村青少年抑郁评分 https://pmc.ncbi.nlm.nih.gov/articles/PMC11206973/ IF：6
吸收（非功能）：口服维生素 D3 补充剂能显著提高纯母乳喂养新生儿 4 个月时的 25(OH)D 浓度 https://pmc.ncbi.nlm.nih.gov/articles/PMC9306990/ IF；5.9
神经：高剂量维生素 D3 补充剂能更有效地减轻儿童慢性抽动障碍的抽动严重程度 https://pmc.ncbi.nlm.nih.gov/articles/PMC11912708/ IF：4.9
肌肉：钙β-羟基-β-甲基丁酸和维生素 D3 补充可增强老年人肌肉功能 https://pmc.ncbi.nlm.nih.gov/articles/PMC7566440/#s1 IF：4.8
性生活、抗氧：维生素 D3 补充可改善精子活力和氧化应激指标 https://link.springer.com/article/10.1007/s43032-021-00769-y IF；2.8
抗炎、肠道：维生素 D3 补充可改善 IBS-D 症状及降低 IL-6 水平 https://pubmed.ncbi.nlm.nih.gov/32203968/ IF：1.5</t>
  </si>
  <si>
    <t>骨骼：https://www.nature.com/articles/276517a0 IF：48.6</t>
  </si>
  <si>
    <t>肌肉：https://pmc.ncbi.nlm.nih.gov/articles/PMC7566440/#s1 IF：4.9</t>
  </si>
  <si>
    <t>骨骼：https://link.springer.com/article/10.1007/s00223-018-0481-6 IF：3.9
吸收（非功能）：https://www.sciencedirect.com/science/article/pii/S0960076016300073?via%3Dihub#sec0035 IF：3.3</t>
  </si>
  <si>
    <t>发育：https://pubmed.ncbi.nlm.nih.gov/29722846/ IF：7.1
吸收（非功能）：https://pmc.ncbi.nlm.nih.gov/articles/PMC9306990/ IF：5.9
神经：https://pmc.ncbi.nlm.nih.gov/articles/PMC11912708/ IF：4.9
吸收（非功能）：https://pmc.ncbi.nlm.nih.gov/articles/PMC12125034/#Sec19 IF：2.10</t>
  </si>
  <si>
    <t>性生活、抗氧、备孕：https://link.springer.com/article/10.1007/s43032-021-00769-y IF：2.9</t>
  </si>
  <si>
    <t>胶原蛋白是皮肤真皮层的支架，25 岁后人体自身的合成速度远不及流失速度。随着年龄增长与光老化，皮肤会出现松弛与皱纹。补充胶原蛋白肽就是补充易于吸收的皮肤结构养分。</t>
  </si>
  <si>
    <t>1. Naticol 法国胶原蛋白肽，经酶水解工艺制成，平均分子量 2000Da
2. 每支复配 4 重肽，立体呵护肌肤，提升皮肤弹性，增加皮肤水合度
3.  添加多种维矿，VA、VB、VC、VE、烟酸、生物素、锌、锰，增加皮肤保湿、修复和抗炎能力</t>
  </si>
  <si>
    <t>胶原蛋白肽，又称水解胶原蛋白，是以鱼皮、鱼鳞、猪皮、牛皮、鸡皮等动物组织为原料，提取天然胶原蛋白后，经酶解或水解工艺制成的小分子短链肽与低聚肽。其分子量小，生物利用度高，核心功效包括改善肌肤水分、提升皮肤弹性、淡化皱纹等。
营养工厂甄选的胶原蛋白肽，源自法国 Weishardt Naticol® 专利原料，采用专利酶解技术制备，生产全程不经过任何电离与辐射处理，平均分子量低至 2000 Da，人体吸收利用率更出众。产品搭载独家“四重肽”复合配方，多重活性肽含量高达 12800 mg，配方天然安心，不含转基因成分与冗余添加剂，无乳糖、无麸质，致敏性极低，适用人群更广泛。
每日 1 支，每盒 89 元可获得与市面 450-700 元市面同品质的原料配方，兼具专业性与经济性。</t>
  </si>
  <si>
    <t>配方： “四重肽” 融合配方（Ⅰ 型 + Ⅲ 型胶原 + 胶原三肽 + 弹性蛋白肽）+ 贵妇级 “鱼子酱精华” + VA、VB、VC、VE、烟酸、生物素、锌、锰
含量：高达12800mg 多重肽
天然：不含转基因成分、不含添加剂
低敏：不含乳糖、不含麸质
易吸收：平均分子量 2000Da
专利工艺：Naticol® 胶原蛋白肽经过专利酶水解工艺制成,在生产过程中不经过任何电离或辐射处理</t>
  </si>
  <si>
    <t>原料源自法国罗非鱼皮。
临床验证护肤功效强效，皱纹减少 2355%、弹性提升 393%、保湿力增加 4014%，还能防护紫外线损伤、抑制黑色素合成。</t>
  </si>
  <si>
    <t>Naticol®️胶原蛋白肽
（暂未授权）</t>
  </si>
  <si>
    <t>image26.jpeg</t>
  </si>
  <si>
    <t>POOG 是海洋胶原蛋白领域的领先企业，由顶尖科学家领衔创立，汇聚深厚的学术积累与全球化研发视野，专注于提供高品质 Naticol® 胶原蛋白肽，深度赋能美容、抗衰老、肠道健康及身体性能提升等关键领域。
其核心资产 Naticol® 天然海洋胶原蛋白肽源自I型胶原，以PO（脯氨酸-羟脯氨酸）和OG（羟脯氨酸-甘氨酸）二肽形式呈现，蛋白质含量超过99%，兼具中性口感与气味的卓越特性。POOG 独家提取技术突破了传统胶原吸收瓶颈，以寡肽形态实现高效渗透与生物利用，精准解决了行业长期存在的吸收率低、生物活性不足等核心痛点。
该技术已获权威学术背书——发表于 Preventive Nutrition and Food Science、PLoS ONE 及 European Journal of Nutrition 等国际顶级期刊的多项临床研究充分证实，Naticol® 在提升皮肤美白与光泽度、增强肌肤紧致与光滑度、优化肠道微生物群落以及改善身体运动性能等方面，均展现出精准且显著的功效。
https://poog.com.tw/</t>
  </si>
  <si>
    <t>护肤：口服胶原蛋白肽显著改善皮肤水分、脱屑、弹性及皱纹 https://pubmed.ncbi.nlm.nih.gov/36916504/ IF：5.4
镇痛：特定生物活性胶原肽可显著减轻年轻活跃成年人的膝关节运动疼痛 https://pubmed.ncbi.nlm.nih.gov/33562729/ IF：5
骨关节：特定胶原肽补充可显著减轻运动相关膝关节疼痛 https://pubmed.ncbi.nlm.nih.gov/28177710/ IF：2
抗炎：含 II 型水解胶原蛋白（胶原蛋白肽）的口服制剂可改善膝骨关节炎患者临床指标和滑膜液炎症指标 https://pubmed.ncbi.nlm.nih.gov/33213125/ IF：1</t>
  </si>
  <si>
    <t>护肤：https://pubmed.ncbi.nlm.nih.gov/36916504/ IF：5
https://www.mdpi.com/2072-6643/11/10/2494 IF：5
https://www.mdpi.com/2072-6643/16/12/1908 IF：5
https://pubmed.ncbi.nlm.nih.gov/32120787/ IF：5
https://pubmed.ncbi.nlm.nih.gov/24401291/ IF：3.2
https://pubmed.ncbi.nlm.nih.gov/26840887/ IF：3.1
https://karger.com/spp/article/27/1/47/295741/Oral-Supplementation-of-Specific-Collagen-Peptides IF：2.7
https://karger.com/spp/article/27/3/113/295769 IF：2.7
https://pubmed.ncbi.nlm.nih.gov/26362110/ IF:2.7
https://pubmed.ncbi.nlm.nih.gov/26561784/ IF:2
骨骼：https://pubmed.ncbi.nlm.nih.gov/32131366/ IF：1.6</t>
  </si>
  <si>
    <t>儿童液体钙镁锌</t>
  </si>
  <si>
    <t>钙镁锌是儿童生长发育期最关键的三种矿物质，常被组合补充，它们相辅相成，支持骨骼、神经、免疫等多方面发育。补充复合钙镁锌制剂，就是为孩子补充支撑生长发育的关键营养。</t>
  </si>
  <si>
    <t>镁帮助钙入骨，防止钙在血管/肾沉积；锌支持整体代谢和免疫，间接助力骨骼/神经发育，三者共同促进骨骼生长、神经发育、免疫力。
营养工厂儿童钙镁锌，采用 Double Nutri® 专利配方，0 添加剂，安全温和。产品拥有酸奶般绵密质地与清甜水果口味，孩子服用无压力，接受度高。原料严选有机钙、镁、锌，亲和人体，吸收效率更出色；复配维生素 D3、维生素 K2 与 L - 赖氨酸，多效协同，既能高效促进钙吸收、引导钙质精准沉积入骨，又能助力儿童生长发育，全面守护孩子健康成长。
每日 1 条，每月 89 元可获得与市面 150-210 元市面同品质的原料配方，兼具专业性与经济性。</t>
  </si>
  <si>
    <t>成分：钙镁锌 + 维 D/K2 协同,促进骨骼矿物质代谢与骨质积累
肠胃友好：100% 超微柠檬酸钙,对儿童肠胃无刺激、不便秘
0 添加：0 添加防腐剂 / 蔗糖 / 人工香精色素,无常见致敏源
专利技术：Double Nutri 专利乳化脂质体技术,获加拿大 / 日本 / 伦敦国际发明奖,达微米级颗粒,提升生物利用率</t>
  </si>
  <si>
    <t>Double Nutri®乳化专利技术（是专利技术,不是专利原料）</t>
  </si>
  <si>
    <t>Double Nutri®乳化专利技术：2281--DE-MD001_certificate.pdf.pdf
2281--JP-MD001_certificate.pdf.pdf</t>
  </si>
  <si>
    <t>2018 32th World Genius Convention and Education Expo – Silver Medal 2018 第32届日本东京国际发明奖-银牌
2018 32th World Genius Convention and Education Expo – Silver Medal 2018 第32届日本东京国际发明奖-银牌
2020 2nd London International Invention and Trade Expo – Special Award 2020 第2届英国伦敦国际发明奖-大会特别奖
2020 5 th iCAN International Invention Innovation Competition – Gold Medal 2020 第5屆加拿大國際發明獎-金牌
2020 5 th iCAN International Invention Innovation Competition – Special Award 2020 第5届加拿大国际发明奖-特別獎</t>
  </si>
  <si>
    <t>大江生医股份有限公司：FDA、HACCP、GMP、ISO 22000</t>
  </si>
  <si>
    <t>备孕：高剂量和低剂量钙补充剂对预防子痫前期都有效 https://pmc.ncbi.nlm.nih.gov/articles/PMC10921922/#ABS1 IF：84.9
骨骼： 孕期补充钙可改善产后 12 月内骨密度恢复 https://pmc.ncbi.nlm.nih.gov/articles/PMC6900564/  IF：7.1</t>
  </si>
  <si>
    <t>备孕：https://pmc.ncbi.nlm.nih.gov/articles/PMC10921922/#ABS1 IF：84.9</t>
  </si>
  <si>
    <t>备孕：https://pmc.ncbi.nlm.nih.gov/articles/PMC10921922/#ABS1 IF：84.9
骨骼：https://pmc.ncbi.nlm.nih.gov/articles/PMC6900564/ IF：7.1</t>
  </si>
  <si>
    <t>活性维生素B族
Active B complex</t>
  </si>
  <si>
    <t>B 族维生素是能量代谢的辅酶。
压力大、熬夜或饮酒的人群极易大量消耗体内的 B 族储备。
补充活性 B 族就是补充高效吸收的抗疲劳能量包。</t>
  </si>
  <si>
    <t>1. 8 大活性 B 族，可被人体快速高效利用
2. 科学复配肌醇与 PABA，协同支持神经、代谢与抗氧化健康，配方更全面
3. 10 大营养，全面补充</t>
  </si>
  <si>
    <t>B 族维生素是一组水溶性维生素，包括维生素 B1（硫胺素）、B2（核黄素）、B3（烟酸）、B5（泛酸）、B6（吡哆醇）、B7（生物素）、B9（叶酸）和 B12（钴胺素）。由于水溶性的特征，B 族维生素不可储存在体内，需每日从食物中摄取。B 族维生素在能量代谢、神经功能、细胞生成和基因表达等多方面发挥关键作用。
营养工厂的活性维生素 B 族每 2 粒含有维生素 B1 硫胺素（盐酸硫胺素） 100mg、维生素 B2 核黄素（来自核黄素 5'-磷酸）75mg、维生素 B3 烟酰胺 100mcg、维生素 B5 泛酸（D-泛酸钙） 500mg、维生素 B6 吡哆醇（吡哆醛 5'-磷酸）9mg、维生素 B7 生物素（D-生物素）1000mcg、维生素 B9 叶酸（L-5-甲基四氢叶酸钙盐） 680mcg、维生素 B12 钴胺素（甲钴胺） 100mcg、钙（D-泛酸钙、碳酸氢钙）、肌醇 100mcg、PABA 50mg。
每日 2 片，每月 79 元可获得与市面 150-300 元市面同品质的原料配方，兼具专业性与经济性。</t>
  </si>
  <si>
    <t>成分：8 大活性 B 族,可被人体高效吸收利用</t>
  </si>
  <si>
    <t>香港莱特维健药厂有限公司：FDA、HACCP、GMP、ISO 22000
Novarex Co., ltd：</t>
  </si>
  <si>
    <t>心血管：核黄素补充可显著降低 MTHFR 677TT 基因型个体的同型半胱氨酸水平 https://www.ahajournals.org/doi/10.1161/CIRCULATIONAHA.105.580332?url_ver=Z39.88-2003&amp;rfr_id=ori:rid:crossref.org&amp;rfr_dat=cr_pub%20%200pubmed IF:35.9
抗衰：烟酰胺核糖补充能提升 NAD+ 水平，改善心血管健康 https://www.nature.com/articles/s41467-018-03421-7 IF：17.2
抑郁：长期使用叶酸、维生素 B6 和 B12 可降低中风后抑郁症风险 https://onlinelibrary.wiley.com/doi/10.1002/ana.22189 IF：8.9
抗氧：高剂量 B 族维生素补充剂可降低氧化应激标志物，提升脑代谢标志物 https://pmc.ncbi.nlm.nih.gov/articles/PMC6316433/ IF；6
血脂：补充叶酸、维生素 B6 和 B12 可显著降低同型半胱氨酸及 LDL 胆固醇水平 https://pmc.ncbi.nlm.nih.gov/articles/PMC11173557/#abstract1 IF：6
护眼：口服维生素 B1 和甲钴胺可改善干眼症患者角膜神经参数和症状 https://pmc.ncbi.nlm.nih.gov/articles/PMC9504679/#sec4-nutrients-14-03750 IF：6
神经：补充维生素 B12 可改善糖尿病神经病变患者神经生理参数、疼痛评分和生活质量 https://pmc.ncbi.nlm.nih.gov/articles/PMC7912007/ IF：6
备孕：补充含 (6S)-5 - 甲基四氢叶酸钙和叶酸的复合营养素，可提升育龄女性血清叶酸水平 https://pmc.ncbi.nlm.nih.gov/articles/PMC11605785/#abstract1 IF：5
口腔：维生素 B 族补充剂可显著改善牙周手术后附着水平 https://aap.onlinelibrary.wiley.com/doi/10.1902/jop.2005.76.7.1084 IF：4.1
认知：B 族维生素可降低血浆 Aβ40 水平，可能预防阿尔茨海默病 https://www.sciencedirect.com/science/article/pii/S0197458006003836?via%3Dihub#section0005 IF；3.8
精力：28 天补充含B族维生素的补剂可显著提升非运动员的耐力表现和减少疲劳代谢物 https://pmc.ncbi.nlm.nih.gov/articles/PMC10542023/#sec2 IF：3.4
血脂：补充 B 族维生素可显著改善血脂代谢、炎症状态和同型半胱氨酸浓度 https://pubmed.ncbi.nlm.nih.gov/32674231/ IF：1.7</t>
  </si>
  <si>
    <t>心血管：https://www.ahajournals.org/doi/10.1161/CIRCULATIONAHA.105.580332?url_ver=Z39.88-2003&amp;rfr_id=ori:rid:crossref.org&amp;rfr_dat=cr_pub%20%200pubmed IF：35.9
抗衰；https://www.nature.com/articles/s41467-018-03421-7 IF：17.2
心血管：https://www.sciencedirect.com/science/article/pii/S0026049510002143?via%3Dihub#aep-abstract-id10 IF：11.8</t>
  </si>
  <si>
    <t>抗衰：https://www.nature.com/articles/s41467-018-03421-7 IF：17.2
心血管：https://www.sciencedirect.com/science/article/pii/S0026049510002143?via%3Dihub#aep-abstract-id10 IF：11.8
心血管：https://pubmed.ncbi.nlm.nih.gov/19390751/ IF；5.1</t>
  </si>
  <si>
    <t>备孕：https://pmc.ncbi.nlm.nih.gov/articles/PMC11605785/#abstract1 IF：5</t>
  </si>
  <si>
    <t>认知：https://www.sciencedirect.com/science/article/pii/S0197458006003836?via%3Dihub#section0005 IF：4.1</t>
  </si>
  <si>
    <t>烟酰胺核糖
NR</t>
  </si>
  <si>
    <t>NR（烟酰胺核糖苷）是 NAD+ 的前体之一，而 NAD+ 是细胞能量代谢和线粒体产生 ATP 的核心辅酶。
衰老、慢性压力会加速 NAD+ 大量消耗，导致能量代谢效率下降、疲劳加重。 
补充活性 NR 能高效提升 NAD+ 水平，直接为细胞提供抗疲劳的能量支持。</t>
  </si>
  <si>
    <t>1. 邦泰生物全球首创 NR 苹果酸盐专利
2. 99% 高纯度，绿色全酶法生产，无有害溶剂残留
3. 高效提升 NAD⁺ 水平，支持能量代谢、神经功能与免疫健康</t>
  </si>
  <si>
    <t>NR（烟酰胺核糖苷）是一种由维生素B3衍生的天然化合物，是 NAD+ 的前体之一。NAD+ 是细胞能量代谢和线粒体产生 ATP 的核心辅酶，它主要以提升线粒体功能和生物发生著称，这一过程有助于细胞改善能量产生、清除受损成分，从而维持和优化整体细胞健康。 并非所有人从普通食物中摄取相关营养后都能产生足够的 NAD+。
营养工厂的 NR 原料，来自《CELL》 文章中大卫·辛克莱团队使用的 NAD+ 前体原料供应商——邦泰生物。含量为 500 mg/粒，采用生物全酶法定向技术提取无重金属污染，具有改善身体机能、改善睡眠质量、提高精子质量、保护茂密头发、改善疲劳状态等多重健康益处。生产工厂具备FDA ISO22000 HACCP GMP香港药厂资质多项认证，具有制药级生产标准。
每日 1 粒，每月 75 元即可获得与市面 2000-3000 元市面同品质的原料配方，兼具专业性与经济性。</t>
  </si>
  <si>
    <t>技术：生物酶制备技术模拟人体酶工作,提升吸收利用率,无有害溶剂残留
纯度：NR 原料纯度≥99%,品质高
认证：原料获美国 FDA Self GRAS 安全评估认证</t>
  </si>
  <si>
    <t>· 全球第一个NR苹果酸盐晶型发明专利
· 纯度高、含量高、重金属低、微生物低、水分低、稳定性好
· 无有害溶剂残留，全酶法生产工艺，绿色环保
· 自有工厂，已通过多项国际认证（FSSC 22000、ISO9001），确保产品的高品质和稳定性</t>
  </si>
  <si>
    <t>CN118561939A.pdf【暂未授权】</t>
  </si>
  <si>
    <t>康营：</t>
  </si>
  <si>
    <t xml:space="preserve">邦泰生物工程（深圳）有限公司（BONTAC Biotech） 是专注于合成生物技术与生物酶催化的功能性原料研发与生产企业，成立于 2012 年，总部位于中国深圳，在深圳、江苏等地建有研发与生产基地，核心产品覆盖 NMN、NAD⁺ 前体、辅酶 Q10、赤藓糖醇等，产品广泛应用于营养健康、食品、医美与科研领域，服务全球多个国家和地区的品牌客户。
 https://www.bontac-bio.com
 </t>
  </si>
  <si>
    <t>专利：
神经：补充烟酰胺核糖可提高帕金森病患者脑部 NAD 水平，改善症状 https://www.sciencedirect.com/science/article/pii/S1550413122000456?via%3Dihub#sec5 IF：27.7
抗衰：高剂量烟酰胺核糖（NR）治疗帕金森病安全且耐受性良好，可改善症状并显著增加 NAD 代谢物 https://www.nature.com/articles/s41467-023-43514-6 IF：14.7
精力：烟酰胺核糖苷（NR）可显著改善外周动脉疾病患者的 6 分钟步行距离 https://pmc.ncbi.nlm.nih.gov/articles/PMC11176364/#Sec9 IF：14.7
心血管：补充烟酰胺核糖可提升 NAD+水平，改善中老年人心血管健康 https://pmc.ncbi.nlm.nih.gov/articles/PMC5876407/#Sec9 IF：14.7
肠道：烟酰胺核糖苷改善肌肉线粒体生物合成，调节肠道菌群 https://www.science.org/doi/full/10.1126/sciadv.add5163?rfr_dat=cr_pub++0pubmed&amp;url_ver=Z39.88-2003&amp;rfr_id=ori%3Arid%3Acrossref.org IF：11.7
抗氧：补充烟酰胺核糖可减轻 Th17 炎症反应，增强抗氧化防御 https://pubmed.ncbi.nlm.nih.gov/37586364/ IF:10.6
线粒体：烟酰胺核糖苷（NR）可安全提升心衰患者 NAD+水平，改善线粒体功能和炎症https://pubmed.ncbi.nlm.nih.gov/36644285/ IF：8.4
抗炎：口服烟酰胺核糖可提高 NAD+水平，降低神经退行性病理标志物 https://pmc.ncbi.nlm.nih.gov/articles/PMC9835564/#acel13754-sec-0003 IF：8
肌肉：烟酰胺核糖苷可增强老年人骨骼肌 NAD+代谢，具抗炎作用 https://pmc.ncbi.nlm.nih.gov/articles/PMC6702140/#sec4 IF：7.5
安全性（非功能）：12 周补充 2000mg/d 烟酰胺核糖对肥胖、胰岛素抵抗男性安全，但不改善胰岛素敏感性及全身葡萄糖代谢 https://www.sciencedirect.com/science/article/pii/S0002916522029409?via%3Dihub#s0010 IF：6.9
代谢（非功能）：烟酰胺核糖（NR）补充一周不改变人体运动代谢 https://physoc.onlinelibrary.wiley.com/doi/10.1113/JP280825 IF；5.5
血糖：12 周补充烟酰胺核糖苷对肥胖男性血糖耐受性、胰岛素分泌能力、胰高血糖素分泌及肠促胰岛素激素分泌无影响 https://academic.oup.com/jcem/article/104/11/5703/5544497?login=true#164335516 IF；5.1
心脏：研究探讨烟酰胺核糖对心衰患者房颤的保护作用及对能量代谢的影响 https://pmc.ncbi.nlm.nih.gov/articles/PMC10721700/#Sec2 IF：3.1
血压：烟酰胺核糖干预可降低中老年人收缩压和动脉硬度 https://pmc.ncbi.nlm.nih.gov/articles/PMC9127073/ IF：2.8</t>
  </si>
  <si>
    <t>心脏：https://www.ahajournals.org/doi/10.1161/CIRCULATIONAHA.123.066039?url_ver=Z39.88-2003&amp;rfr_id=ori:rid:crossref.org&amp;rfr_dat=cr_pub%20%200pubmed IF：36.6
抗衰：https://pmc.ncbi.nlm.nih.gov/articles/PMC6954688/ IF：36
神经：https://www.sciencedirect.com/science/article/pii/S1550413122000456?via%3Dihub#sec5 IF:27.7</t>
  </si>
  <si>
    <t>心血管、血压、抗衰：https://pmc.ncbi.nlm.nih.gov/articles/PMC5876407/#Sec9 IF：14.7
神经、抗衰：https://pmc.ncbi.nlm.nih.gov/articles/PMC9835564/#acel13754-sec-0003 IF：8
抗炎、抗衰、肌肉：https://pmc.ncbi.nlm.nih.gov/articles/PMC6702140/#sec4 IF：7.5
抗衰：https://pubmed.ncbi.nlm.nih.gov/37994989/ IF：5.3</t>
  </si>
  <si>
    <t>血糖：https://onlinelibrary.wiley.com/doi/10.1002/pbc.31369 IF：2.3</t>
  </si>
  <si>
    <t>血糖：https://academic.oup.com/jcem/article/104/11/5703/5544497?login=true#164335516 if:5.1
肌肉：https://pmc.ncbi.nlm.nih.gov/articles/PMC9295440/#Sec4 IF：3.8
肌肉：https://physoc.onlinelibrary.wiley.com/doi/10.1113/JP278752 IF：2.91</t>
  </si>
  <si>
    <t>尿石素 A 是重启线粒体健康的关键代谢产物，依赖特定肠道菌群转化。
研究显示仅有约 40% 的人群具备能自然转化出尿石素 A 的菌群。
补充尿石素 A 就是直接补充这种跨越菌群障碍的线粒体激活剂。</t>
  </si>
  <si>
    <t>1. 98% 高纯度尿石素 A
2. 天然多酚微生物代谢物，兼具抗炎、抗氧化与抗衰老功效
3. 激活线粒体自噬，提升肌肉力量、耐力和运动表现</t>
  </si>
  <si>
    <t>尿石素 A 是一种由肠道微生物将鞣花酸和鞣花单宁等多酚类物质代谢产生的天然化合物。尿石素 A 的生成依赖于肠道菌群的特性，并不是所有人都能高效地将鞣花酸转化为尿石素 A。个体差异在于肠道菌群的多样性和功能，因此并非所有人从富含鞣花酸的食物中摄取后都能产生足够的尿石素 A。它主要以促进线粒体自噬著称，这一过程有助于细胞清除老化或受损的线粒体，从而维持和改善细胞功能。
营养工厂的尿石素 A 采用 98% 的高浓度尿石素 A，每 2 粒含有尿石素 A 500mg，可以实现减轻细胞衰老骨骼肌肉养护、促进代谢健康、保护心血管健康等多重健康益处
每日 2 粒，每月 169 元可获得与市面 800-1700 元市面同品质的原料配方，兼具专业性与经济性。</t>
  </si>
  <si>
    <t>纯度：98% 高纯度</t>
  </si>
  <si>
    <t>肌肉、精力、抗炎：尿石素 A 能增强中年成人肌肉力量和运动表现，改善线粒体健康标志物 https://www.sciencedirect.com/science/article/pii/S2666379122001586?via%3Dihub IF：7.8
吸收（非功能）：尿石素 A 能显著提高血浆水平 https://www.nature.com/articles/s41430-021-00950-1 IF：4</t>
  </si>
  <si>
    <t>肌肉：https://pubmed.ncbi.nlm.nih.gov/35050355/ IF：3.5
线粒体：https://pubmed.ncbi.nlm.nih.gov/35050355/ IF：3.5</t>
  </si>
  <si>
    <t>反式白藜芦醇是激活长寿基因 Sirtuins 的关键多酚，人体不能合成。
想要达到有效的摄入剂量，仅靠食物是完全无法实现的。
补充反式白藜芦醇就是补充高浓度的植物多酚抗衰成分。</t>
  </si>
  <si>
    <t>1. 虎杖根茎发酵提取，植物来源安全可靠
2. 98% 高纯反式结构，稳定高活性
3. 多通路激活与 SIRT1 介导，调控代谢、抗炎、抗衰老</t>
  </si>
  <si>
    <t>白藜芦醇是从植物中提取出来的非黄酮类多酚。于 20 世纪 40 年代首次在藜芦（又称白嚏根草）中分离出来。反式白藜芦醇因其化学结构的稳定性和生物活性更高而备受关注，在抗氧化、抗炎、心血管保护和延缓衰老方面展现出显著效果。
营养工厂的反式白藜芦醇来自虎杖根茎发酵提取，植物来源安全可靠。其反式结构占比高达 98% ，在稳定的同时保持着高活性。可以实现保护心脏、抗炎抗氧化、抗衰老抗糖化、抗高血压、保护神经系统、增加骨矿物质密度等多种健康益处。
每日 1 粒，每月 47.5 元可获得与市面 400-600 元市面同品质的原料配方，兼具专业性与经济性。</t>
  </si>
  <si>
    <t>原料：虎杖根茎发酵提取,植物来源安全可靠
纯度：98% 高纯反式结构,稳定高活性</t>
  </si>
  <si>
    <t>湖北省三鑫生物科技有限公司，是国家高新技术企业，其产品已覆盖 30 多个国家，年产植物提取物超 800 吨，奠定了坚实的市场信任基础。其核心资产——脂质体包埋递送技术体系精准解决活性成分的稳定性与吸收难题。此外公司已通过 FDA 及犹太认证，持续为全球客户提供具备商业穿透力的高价值原料解决方案。
http://www.sanxinyiyao.com/about.html</t>
  </si>
  <si>
    <t>认知：长期服用低剂量白藜芦醇可改善绝经后女性认知、血管及代谢健康 https://doi.org/10.1016/j.clnu.2020.08.025 IF：8.8
血脂：白藜芦醇补充可改善 2 型糖尿病患者部分心血管代谢指标 https://doi.org/10.1002/ptr.6487 IF：5.1
口腔、抗菌：含白藜芦醇的舌下速溶片能增加获得性牙菌斑蛋白表达，提高口腔保护 https://doi.org/10.1016/j.jdent.2024.104876 IF；5
精力、血压：慢性补充白藜芦醇可减少疲劳、提高舒张压 https://doi.org/10.1017/s0007114515003037 IF：4.3
神经：反式白藜芦醇对轻中度阿尔茨海默病有潜在的神经保护作用 https://doi.org/10.1007/s40120-021-00271-2 IF：3.2
抗癌：白藜芦醇降低高危女性乳腺癌相关基因 RASSF-1α 甲基化 https://doi.org/10.1080/01635581.2012.654926 IF；3
肾脏：高剂量白藜芦醇可改善腹透患者超滤功能，抑制新生血管形成 https://doi.org/10.3109/0886022x.2015.1128236 IF：2.9
备孕：补充反式白藜芦醇、D-赤藓糖醇肌醇和肌醇可改善孕妇代谢状况 https://doi.org/10.7417/t.2017.2013 IF：1.1</t>
  </si>
  <si>
    <t>抗癌：https://doi.org/10.1038/nrd2060 IF：120
减脂：https://doi.org/10.1016/j.cell.2006.11.013 IF：72.4
抗衰：https://doi.org/10.1038/nature05354 IF：65.2</t>
  </si>
  <si>
    <t>认知：https://doi.org/10.1016/j.clnu.2020.08.025 IF：8.8
抗癌：https://doi.org/10.1080/01635581.2012.654926 IF：3
备孕：https://doi.org/10.7417/t.2017.2013 IF：1.1</t>
  </si>
  <si>
    <t>女性私处与肠道菌群通过生理轴线相互影响，极易受激素与压力干扰。高达 75% 的女性会在一生中经历菌群失衡带来的妇科困扰。补充女性益生菌就是补充针对女性微生态平衡的专用菌株。</t>
  </si>
  <si>
    <t>1. 丹麦科汉森专利菌株 UREX™，获 FAO/WHO 与耶鲁/哈佛共识双重权威推荐
2. 口服后经肠道增殖并定向迁移，精准作用于泌尿生殖系统
3. 全球科研支持最广的女性私密益生菌，35+ 人体临床覆盖多类健康需求</t>
  </si>
  <si>
    <t>女性私密部位内以有益菌（乳酸杆菌）为主，能维持健康稳定的环境。但如果长期作息不规律，或是日常清洁方式不当，都可能破坏私密部位的菌群平衡，导致有害厌氧菌大量繁殖，使环境酸碱度失衡、有益菌数量下降，进而引发私密部位不适。
营养工厂的女性益生菌采丹麦科汉森专利配方菌株 UREX™，复配益生元低聚果糖，口服后可在肠道增殖并定向迁移至泌尿生殖道，帮助维持并恢复私密部位正常菌群，辅助改善不适、守护女性私密健康。
每日 1 粒，每月 52.25 元可获得与市面 450-700 元市面同品质的原料配方，兼具专业性与经济性。</t>
  </si>
  <si>
    <t>专利：丹麦科汉森专利菌株 UREX™
含量：一粒含 50 亿 CFU</t>
  </si>
  <si>
    <t>原料采购中</t>
  </si>
  <si>
    <t>阴道菌群：益生菌（GR-1/RC-14）联合抗菌药可提升 BV 患者阴道乳杆菌丰度，改善菌群稳态 https://pmc.ncbi.nlm.nih.gov/articles/PMC4539393/ IF：13.8
女性健康：研究显示，口服益生菌对孕期阴道健康无显著改善作用。 https://doi.org/10.1016/j.ajog.2016.06.021 IF：9.8
免疫力：口服益生菌 L.rhamnosus GR-1 和 L.reuteri RC-14 能增强甲硝唑治疗细菌性阴道炎的疗效 https://www.sciencedirect.com/science/article/pii/S128645790600058X IF：5
肠道：本研究显示，乳杆菌属益生菌可增加乳酸杆菌相对丰度并调节炎症标志物。 https://doi.org/10.1371/journal.pone.0104511 IF：3.7
安全性（非功能）：乳酸菌L.rhamnosus GR-1和L.fermentum RC-14可有效到达人体肠道，不诱导系统免疫或炎症反应。 https://doi.org/10.1016/S0958-6946(01)00138-8 IF：2.8
肾脏：益生菌对脊髓损伤者多重耐药菌定植无效，RC14-GR1可防新定植。 https://doi.org/10.1038/s41393-020-0420-z IF：2.5
抗炎：益生菌乳酸菌 GR-1 和 RC-14 可显著提高细菌性阴道炎治愈率 https://doi.org/10.1139/w08-102 IF：2.2</t>
  </si>
  <si>
    <t>阴道菌群：https://pmc.ncbi.nlm.nih.gov/articles/PMC4539393/ IF：13.8
阴道菌群：https://doi.org/10.1001/archinternmed.2012.777 IF：11.5</t>
  </si>
  <si>
    <t>阴道菌群：https://pmc.ncbi.nlm.nih.gov/articles/PMC4539393/ IF：13.8
https://doi.org/10.1001/archinternmed.2012.777 IF：11.5
https://www.sciencedirect.com/science/article/pii/S128645790600058X IF：5
https://pubmed.ncbi.nlm.nih.gov/31340789/ IF：2.8
https://doi.org/10.1139/w08-102 IF：2.2
https://doi.org/10.1016/s0928-8244(02)00465-0 IF：2.1
https://pubmed.ncbi.nlm.nih.gov/27590374/ IF：2
https://doi.org/10.1016/j.ejogrb.2012.12.031 IF：2
https://doi.org/10.1016/j.ijgo.2010.07.008 IF：2
https://doi.org/10.1111/j.1574-695x.2001.tb00531.x IF：2
https://doi.org/10.1111/j.1472-765x.2008.02477.x IF：1.6
https://pubmed.ncbi.nlm.nih.gov/18701205/ IF：1.5
https://doi.org/10.1089/1096620041224166 IF；1.4
女性健康：https://doi.org/10.1016/j.ajog.2016.06.021 IF：9.8
https://doi.org/10.3390/nu12020368 IF：6.7
https://doi.org/10.3390/nu12041141 IF：6.7
https://doi.org/10.1111/1471-0528.15675 IF：5.5
https://doi.org/10.1097/01.mcg.0000128938.32835.98 IF：4.2
https://doi.org/10.1128/cdli.9.1.92-96.2002 IF：4
https://doi.org/10.1111/j.1574-695x.2001.tb01549.x IF：4
https://doi.org/10.1016/j.micinf.2006.08.008 IF：2.6
https://doi.org/10.1080/14767058.2019.1650907 IF：2.3
肠道：https://doi.org/10.1371/journal.pone.0104511 IF：3.7
https://doi.org/10.1016/S0958-6946(01)00138-8 IF：2.8
肾脏：https://doi.org/10.1038/s41393-020-0420-z IF：2.5
https://doi.org/10.1038/s41393-019-0251-y IF：2.4
https://doi.org/10.1007/s11255-019-02282-3 IF：1.9</t>
  </si>
  <si>
    <t>Throne 和皇家橡树</t>
  </si>
  <si>
    <t>硒是甲状腺功能与抗氧化酶系的必需微量元素，人体无法够合成。全球不仅有数亿人硒摄入不足，且许多地区土壤缺硒。补充活性有机硒就是补充吸收率更高的必需微量元素。</t>
  </si>
  <si>
    <t>1.SeLECT ® 第四代专利活性有机硒——L-硒代蛋氨酸
2. 纳米生物强化技术，95% 高生物利用度，吸收与保留率优于无机硒与酵母硒
3. 原料 GRAS 认证，安全可靠</t>
  </si>
  <si>
    <t>专利：SeLECT ® 第四代专利活性有机硒——L-硒代蛋氨酸
技术：纳米生物强化技术,95% 高生物利用度,吸收与保留率优于无机硒与酵母硒
认证：原料 GRAS 认证,安全可靠</t>
  </si>
  <si>
    <t>Selenium SeLECT® 专利活性有机硒
1. 采用纳米生物强化技术，生物利用度高达 95%，无需体内转化即可直接吸收利用，优于无机硒与酵母硒。
2. 不含酵母蛋白与无机硒残留，避免长期服用可能带来的代谢负担，原料已通过 GRAS 认证，适用于日常营养补充。
3. Sabinsa 拥有精确的分析方法，确保产品为高纯度的 L-(+) 型硒代蛋氨酸，与普通混合型硒补充剂形成区隔，保证成分真实、活性稳定。</t>
  </si>
  <si>
    <t>康营</t>
  </si>
  <si>
    <t>Sabinsa 由 Muhammed Majeed 博士于 1988 年创立，是全球营养保健品与化妆品原料领域的创新型先驱企业。三十余年来，公司始终致力于以科学研究驱动原料创新，截至目前已拥有 400 余项专利、900 余项注册商标，知识产权布局覆盖澳大利亚、日本、加拿大、欧洲及美国等全球主要市场，专利内容涵盖创新型功效成分、生产工艺及功能应用等多个维度。企业已通过 NSF、FSSC22000、NON-GMO、KOSHER 等多项国际权威认证，确保从源头到成品的全程可控与品质稳定。
与传统硒源（无机硒、酵母硒）不同，Selenium SeLECT® 属于第四代活性有机硒——L-硒代蛋氨酸。其纯净性和生物利用度高。
凭借扎实的科研积淀与严格的质量体系，Sabinsa为Selenium SeLECT® 提供了从分子结构到功能验证的全链路保障——高活性、高纯度、高安全性，使其成为追求精准营养与长期健康管理的理想硒源选择。</t>
  </si>
  <si>
    <t>免疫力：HIV 感染者日补 200 μg 有机硒（硒酵母），可降病毒载量、间接升 CD4 细胞数 https://doi.org/10.1001/archinte.167.2.148 IF：15
心血管：硒和辅酶 Q10 补充改善甲状腺功能，降低心血管死亡率，提升生活质量  https://doi.org/10.1186/s12916-024-03411-1 IF：13.2
甲状腺：硒和辅酶 Q10 补充改善甲状腺功能，降低心血管死亡率，提升生活质量 https://doi.org/10.1186/s12916-024-03411-1 IF：13.2
吸收（非功能）：50 微克/天的硒补充可优化血浆硒蛋白 P 浓度 https://doi.org/10.3945/ajcn.2009.28169 IF：5.4
肠道：硒补充剂可减轻轻中度溃疡性结肠炎患者炎症和疾病活动 https://doi.org/10.1007/s00394-023-03214-9 IF：4.7
免疫力：硒补充剂可减轻轻中度溃疡性结肠炎患者炎症和疾病活动 https://doi.org/10.1007/s00394-023-03214-9 IF：4.7
抗氧：硒酵母降低氧化应激 https://doi.org/10.1158/1940-6207.CAPR-14-0042 IF：4.5
抑郁：有机和无机硒补充剂能显著减轻产后抑郁 https://doi.org/10.34172/jcs.33218 IF：2.1</t>
  </si>
  <si>
    <t>免疫力：https://doi.org/10.1001/archinte.167.2.148 IF：15
心血管、甲状腺：https://doi.org/10.1186/s12916-024-03411-1 IF：13.2</t>
  </si>
  <si>
    <t>心血管、甲状腺：https://doi.org/10.1186/s12916-024-03411-1 IF：13.2</t>
  </si>
  <si>
    <t>抑郁：https://doi.org/10.34172/jcs.33218 IF：2.1</t>
  </si>
  <si>
    <t>抗氧：https://doi.org/10.1158/1940-6207.CAPR-14-0042 IF：4.5</t>
  </si>
  <si>
    <t>生命早期肠道菌群的建立对儿童生长发育和免疫系统成熟具有决定性作用。然而，受剖宫产、非母乳喂养、抗生素使用以及饮食结构变化等因素影响，全球范围内相当比例的儿童存在肠道菌群发育不足或紊乱的风险。补充儿童益生菌就是补充维持肠道菌群平衡的有益菌株。</t>
  </si>
  <si>
    <t>1.菌株均在《可用于婴幼儿食品的菌种名单》内，科学配方，专为儿童定制
2.全进口菌株，选取婴幼儿领域内临床研究最多、功能覆盖最全面的临床实证菌株
3.全益生元辅料可以帮助益生菌在宝宝肠道更好的定殖，提升服用效率</t>
  </si>
  <si>
    <t>肠道菌群参与营养代谢、屏障维护及免疫调控，其失衡与腹泻、过敏、感染性疾病及功能性胃肠病密切相关。然而全球相当比例的儿童面临肠道菌群发育不足或紊乱的风险。当孩子无法通过自然分娩、母乳喂养或均衡饮食获得理想的肠道微生态支持时，经临床验证的益生菌补充是安全有效的营养干预方式。
营养工厂的儿童益生菌，严选 6大 明星菌株，源自全球顶尖供应商，涵盖鼠李糖乳酪杆菌 GG、动物双歧杆菌乳亚种 Bb-12 等婴幼儿领域临床研究最多、功能覆盖最全面的实证菌株，每条出厂活菌 ≥210 亿 CFU。配方以低聚果糖与水苏糖为纯净益生元辅料，不添加乳粉、蔗糖、果粉及香精；搭载五层包埋专利技术，确保益生菌抗胃酸、抗胆碱，顺利抵达肠道定殖。
每日 1 条，每月仅需 75 元，即可获得与市面 170-300 元大牌同源规格的原料配方，兼具专业性与经济性。</t>
  </si>
  <si>
    <t>含量：出厂活菌&gt; 210 亿 CFU /条
菌株：6 种明星菌株协同
安全：0 岁放心用，均符合卫健委《可用于婴幼儿食品的菌种名单》
纯净：乳粉、蔗糖、果粉、香精等均 0 添加
配方：2 大益生元助力菌群
检测：超 112 项检测/认证，成品送检
技术：5 层包埋专利技术，有效保证益生菌活性
包装：AL9 三层高阻复合膜，独立锁鲜
认证：6 种株菌都获得了美国 FDA GRAS 和欧盟 EFSA QPS 权威认证</t>
  </si>
  <si>
    <t>EFSA_现有微生物QPS最新版2025.9.pdf
FDA_BB12.pdf
FDA_HN001.pdf
FDA_HN019+Bi07.pdf
FDA_LGG.pdf
FDA_M16V.pdf
Microbial species as notified to EFSA_Dec25_PS23.xlsx</t>
  </si>
  <si>
    <t>6 种菌株均来自于国家卫健委批准的《可用于婴幼儿食品的菌种名单》——0 岁宝宝即可放心使用</t>
  </si>
  <si>
    <t>善恩康生物科技（宿州）有限公司：FDA、GMP、HACCP、ISO22000、FSSC22000、HALAL、Kosher</t>
  </si>
  <si>
    <t>菌株全部选自国家卫健委批准的《可用于婴幼儿食品的菌种名单》由IFF、森永乳业（Morinaga）等知名机构研发或提供，所选菌株广泛应用于婴儿奶粉、益生菌补充剂等产品中。</t>
  </si>
  <si>
    <t>免疫力：围产期 LGG 补充对特应性湿疹的预防作用可持续至 4 岁 https://doi.org/10.1016/s0140-6736(03)13490-3 IF：88.5
肠道菌群：Bb-12 补充可调节断奶期婴儿肠道菌群，可能缓解过敏性炎症 https://doi.org/10.1136/gut.51.1.51 IF：26.2
免疫力：含 HN001 和 M-16V 的益生菌混合物可将儿童上呼吸道感染发热持续时间缩短 https://doi.org/10.1001/jamanetworkopen.2025.0669 IF：9.7
肠道：Bb-12 可有效缓解婴儿肠绞痛 https://doi.org/10.1111/apt.15561 IF：6.7
耐受性：Bb-12 可增加早产儿肠道氨基酸水平，降低血清炎症因子，减少喂养不耐受 https://doi.org/10.1038/s41390-024-03552-2 IF：3.1
发育：含 HN019 和益生元的强化牛奶可促进儿童体重增长并降低贫血风险 https://doi.org/10.1097/mpg.0b013e3181d98e45 IF：2.7</t>
  </si>
  <si>
    <t>免疫力： https://doi.org/10.1016/s0140-6736(03)13490-3 IF：88.5
肠道菌群： https://doi.org/10.1136/gut.51.1.51 IF：26.2</t>
  </si>
  <si>
    <t>免疫力： https://doi.org/10.1016/s0140-6736(03)13490-3 IF：88.5
肠道菌群： https://doi.org/10.1136/gut.51.1.51 IF：26.2
免疫力： https://doi.org/10.1001/jamanetworkopen.2025.0669 IF：9.7
肠道： https://doi.org/10.1111/apt.15561 IF：6.7
耐受性： https://doi.org/10.1038/s41390-024-03552-2 IF：3.1
发育： https://doi.org/10.1097/mpg.0b013e3181d98e45 IF：2.7</t>
  </si>
  <si>
    <t>高纯 EPA</t>
  </si>
  <si>
    <t>WHC 小天使97%EPA 鱼油</t>
  </si>
  <si>
    <t>高纯度 EPA 是 Omega-3 脂肪酸中的核心活性成分，人体几乎无法自行合成，只能依赖外部摄取。现代饮食中普遍存在 Omega-3 摄入不足、Omega-6 偏高的问题。补充高纯度 EPA，就是补充更聚焦于抗炎调节与血管健康支持的关键脂肪酸。</t>
  </si>
  <si>
    <t>1.97% 的EPA含量，几乎不含DHA
2. IFOS认证,秘鲁纯净深海小鱼，远离核污染
3.专一配方，针对抗炎与心血管</t>
  </si>
  <si>
    <t>营养工厂的 EE 型 97% 高纯 EPA 鱼油，采用高含量 EPA 配方，核心成分更聚焦。EPA 作为 Omega-3 中的重要活性成分，在心血管健康、血脂管理、炎症调节方面发挥关键作用。
本品每份含总 Omega-3 1215mg，其中 EPA 高达 1202mg，DHA ＜13mg，真正做到高纯度、高浓度、精准补充。
每日按推荐量补充，即可获得接近纯 EPA 级别的专业营养支持，兼具高规格原料价值与清晰明确的成分优势。
每日 2 粒即可，每月 95 元即可获得与市面300-400 元同类大牌同源规格的原料配方，兼具专业性与经济性。</t>
  </si>
  <si>
    <t>纯度：97% 纯度高
比例：EPA超高占比
原料：深海小鱼污染少
包装：板式胶囊防氧化
胶囊：小粒鱼油易吞服
认证：IFOS 五星认证</t>
  </si>
  <si>
    <t>第一批 欣美加：
请勿宣传
第二批 KD：
等待第二批上再宣传
1.KD鱼油的超临界流体色谱是其专利技术，全球独家专利的超临界CO2色谱法。
2.KD pharma拥有21项国际专利；12项技术和工艺相关专利；3项产品组成专利；6项关于治疗用途的独立专利。</t>
  </si>
  <si>
    <t>降低心血管风险：高纯度 EE 型 EPA 显著降低心血管风险 25%。 https://pubmed.ncbi.nlm.nih.gov/30415628/  IF：78.5
降低甘油三酯：EPA可使甘油三酯降低 ≥30%；纯 EPA 制剂在降低甘油三酯的同时，通常不升高 LDL-C。
https://pubmed.ncbi.nlm.nih.gov/31422671/  IF：38.7
EPA优势：EPA单药治疗比EPA+DHA联合治疗更能显著降低心血管风险。 https://pubmed.ncbi.nlm.nih.gov/34505026/ IF：10
情绪调解：EPA 与抑郁症状改善 https://pubmed.ncbi.nlm.nih.gov/31383846/ IF：6.2
抗炎特性：https://pubmed.ncbi.nlm.nih.gov/28900017/  IF：4.3</t>
  </si>
  <si>
    <t>降低心血管风险：高纯度 EE 型 EPA 显著降低心血管风险 25%。 https://pubmed.ncbi.nlm.nih.gov/30415628/  IF：78.5
降低甘油三酯：EPA可使甘油三酯降低 ≥30%；纯 EPA 制剂在降低甘油三酯的同时，通常不升高 LDL-C。
https://pubmed.ncbi.nlm.nih.gov/31422671/  IF：38.7</t>
  </si>
  <si>
    <t>拟微球藻油(SPMs)</t>
  </si>
  <si>
    <t xml:space="preserve">拟微球藻油市场可用图文 </t>
  </si>
  <si>
    <t>传统鱼油中的EPA/DHA需要经过胆汁乳化、酶解与脂蛋白转运等多步消化过程，存在吸收效率不稳定、个体差异大、生物利用度受限的问题。源自 拟微球藻 的拟微球藻油富含磷脂/糖脂等天然极性脂质，可在肠道形成类乳化环境，显著提升脂溶性营养的溶解与跨膜吸收效率，从而提高 Omega-3脂肪酸 的实际利用率。同时，其所含 SPMs（特异性促炎症消退介质） 前体，有助于推动炎症反应向主动消退转变。因此，补充拟微球藻油可以提升Omega-3的吸收效率，并增强炎症消退过程的生理支持能力。</t>
  </si>
  <si>
    <t>1. 源自拟微球藻，富含磷脂/糖脂等极性脂结构，作为鱼油搭配使用时，可显著提升Omega-3脂肪酸的肠道吸收与体内利用效率 
2. 提供SPMs前体来源，作为“炎症刹车信号”，促进炎症反应从持续激活走向主动消退 
3. 研究显示可改善血脂谱（降低TC与VLDL且不升高LDL），在脂质代谢调节方面具有良好协同表现，并具备较高安全性基础</t>
  </si>
  <si>
    <t>Omega-3脂肪酸在人体细胞膜结构构建、炎症反应调控及脂质代谢中发挥核心作用，其摄入不足或利用效率低下，常与慢性低度炎症、代谢紊乱及心血管风险升高相关。然而传统鱼油在实际应用中普遍存在消化依赖强、个体吸收差异大、有效利用率不稳定等问题，使得“吃进去”与“真正发挥作用”之间存在明显落差。
在实际补充中，仅依靠鱼油往往难以解决“吸收与转化效率”的瓶颈，因此需要通过“鱼油 + 吸收增强型载体”的协同方式，提高Omega-3的整体利用水平与功能表达效率。
拟微球藻油以拟微球藻为天然来源，富含EPA及磷脂、糖脂等极性脂结构，可在肠道中提升脂质溶解与吸收效率，从而增强鱼油中Omega-3脂肪酸的实际利用；同时其活性脂质成分可参与脂质代谢稳态调节，并支持炎症从持续状态向生理性消退方向转化。与鱼油搭配使用，可形成“补充 + 利用优化”的协同体系，提升整体Omega-3营养效率。
每日1粒，每瓶120粒，179元，每月仅需约45元，即可作为鱼油的高效搭档，提升Omega-3整体补充效果。</t>
  </si>
  <si>
    <t>含量：45% 以上的天然极性脂；富含SPMs（特异性促炎症消退介质）前体物质
来源：纯植物来源拟微球藻
鱼油搭档：一瓶可搭配4盒鱼油
安全：2021 年被国家卫健委批准为新食品原料</t>
  </si>
  <si>
    <t>小藻科技</t>
  </si>
  <si>
    <t>五个女博士
胶原蛋白肽 EGCG 饮</t>
  </si>
  <si>
    <t>皮肤的胶原蛋白随着年龄增长而逐渐流失，
胶原蛋白肽是易于吸收的皮肤结构养分。</t>
  </si>
  <si>
    <t>1.足量专利鱼胶原蛋白肽 8000mg、鱼弹性蛋白肽 100mg
2.小分子胶原三肽高效吸收，&lt;500 Da占50%，&lt;1000 Da占90%
3.复配EGCG、透明质酸钠、壳寡糖，构建「真皮锁水网」</t>
  </si>
  <si>
    <t>国产胶原蛋白肽top品牌“五个女博士”王牌产品同款配方
胶原蛋白肽的吸收率和人体利用率与其分子量密切相关。综合现有资料，分子量越低，吸收效率越高，生物利用度越优。本品主打小分子肽，好吸收。
1.WMTY®鲜活胶原：区别于传统胶原的成粉末重新溶解，该胶原蛋白肽液体直接加入产品。从鱼鳞到成品，仅仅需要6小时。没有成粉过程，可以避免烘干过程中的氧化，保留最大活性。
2.定向酶切技术：小于500Da的胶原占比高达50%，更利于吸收
3.配方中添加NUGLY OB®壳寡糖，与胶原蛋白复配，提升1.4倍吸收度</t>
  </si>
  <si>
    <t>配方： 胶原三肽液、浓缩百香果汁、水蜜桃浓缩汁、梨浓缩汁、赤藓糖醇、鲣鱼弹性蛋白肽、γ-氨基丁酸、透明质酸钠、壳寡糖、EGCG
含量：高达 8000mg 多重肽
易吸收：小于500Da的胶原占比高达50%
专利工艺：鲜活肽工艺从鱼鳞到成品，仅仅需要6小时。没有成粉过程，可以避免烘干过程中的氧化，保留最大活性。</t>
  </si>
  <si>
    <t>1.WMTY®鲜活胶原：区别于传统胶原的成粉末重新溶解，该胶原蛋白肽液体直接加入产品。从鱼鳞到成品，仅仅需要6小时。没有成粉过程，可以避免烘干过程中的氧化，保留最大活性。
2.NUGLY OB®壳寡糖：与胶原蛋白复配，提升1.4倍吸收度</t>
  </si>
  <si>
    <t>1.WMTY®鲜活胶原
2.NUGLY OB®壳寡糖</t>
  </si>
  <si>
    <t>一种胶原三肽液的制备方法及其应用-发明专利.pdf
一种生物活性肽制备用的预处理装置-实用新型专利证书.pdf
一种小分子活性肽制备用酶解反应装置-实用新型专利证书.pdf
一种小分子肽酶解提取的制备装置-实用专利.pdf
一种新型胶原三肽的提取制备设备-实用新型专利证书.pdf</t>
  </si>
  <si>
    <t>发明专利《一种胶原三肽液的制备方法及其应用》：ZL 2024 1 1583838.8
实用新型专利《一种生物活性肽制备用的预处理装置》：ZL 2024 2 2138779.5
实用新型专利《一种小分子活性肽制备用酶解反应装置》：ZL 2024 2 2509498.6
实用新型专利《一种小分子肽酶解提取的制备装置》：ZL 2024 2 2689036.7
实用新型专利《一种新型胶原三肽的提取制备设备》：ZL 2024 2 2141684.9</t>
  </si>
  <si>
    <t xml:space="preserve">未名太研奖项及授权函 </t>
  </si>
  <si>
    <t>未名太研生物科技（绍兴）有限公司
拥有国内首条10000 吨 / 年鲜活胶原成品制备全自动化生产线，是中国产能最大的鲜活肽产业化基地，配套大健康行业首套工业互联网智造系统。
三大核心技术
定向酶切技术：精准控制胶原肽的分子量分布，最终产品 &lt; 500Da 小分子占比 50%，&lt;1000Da 占比 90%，平均分子量仅 500Da，小分子占比显著高于国内外同类畅销品牌，更易被人体直接吸收。
多级膜过滤技术：通过粗滤、精滤、反渗透多级过滤体系，实现两大核心突破：一是游离氨基酸含量＜2%，远低于行业 5% 的标准，大幅降低不良口感；二是肽含量达 95% 以上，远超同行 90% 的标准，显著提升产品纯度。
低温纳滤浓缩工艺：采用 20℃、1nm 孔径纳滤浓缩技术，替代传统 85℃高温三效浓缩工艺，从根源避免高温导致的胶原氧化、褐变与活性流失，完整保留胶原的生物活性。</t>
  </si>
  <si>
    <t>雀巢Optifibre
瓜尔豆纤维粉</t>
  </si>
  <si>
    <t>膳食纤维（益生元）是肠道益生菌的“超级食物”。中国营养学会建议成人每天膳食纤维摄入量25~35克，据统计，每5个成年人，仅有1人满足推荐量。</t>
  </si>
  <si>
    <t>1.专利调养型膳食纤维FibalanceⓇPHGG，滋养全肠道有益菌
2.CTI华测权威机构28天真人实测，鉴证排便改善
3.LOW FODMAP权威认证，减少胀气，改善肠道不适</t>
  </si>
  <si>
    <t>雀巢热销产品“Optifiber”同原料升级配方
传统膳食纤维/益生元痛点：主流益生元如菊粉、低聚果糖等分子量小，快速发酵易引发胀气、腹痛、腹泻，肠道敏感人群耐受性差，市场亟需温和高耐受的解决方案。
市场热点产品：雀巢 OptiFibre 以半乳甘露聚糖（PHGG）为核心成分，成为全球健康大单品，适用人群广泛，涵盖儿童、孕妇、老人及肠道敏感者等，推荐每日用量 5g，可添加至各类饮食中。
PHGG 核心特性：以瓜尔豆为原料经专利水解制成的高分子长链益生元，平均分子量约 20000Da，获Low FODMAP 认证。其优势在于缓慢发酵，可避免肠道不适，定向增殖有益菌的效果更强且更持久。
核心功效：调节肠道菌群、改善排便规律、调节代谢指标、助力体重管理
其他功效：改善皮肤水分、调节免疫、缓解情绪睡眠问题、阻止非酒精性脂肪肝发展等</t>
  </si>
  <si>
    <t>配方：三重益生元：半乳甘露聚糖 PHGG、阿拉伯胶、水苏糖
专利：Fibalance®PHGG，天然瓜尔豆来源，滋养全肠道有益菌
认证：LOW FODMAP权威认证，减少胀气，改善肠道不适
临床：CTI华测权威机构28天真人实测，鉴证排便改善</t>
  </si>
  <si>
    <t>Fibalance®PHGG：以瓜尔豆为原料经专利水解制成的高分子长链益生元，平均分子量约 20000Da，获Low FODMAP 认证。其优势在于缓慢发酵，可避免肠道不适，定向增殖有益菌的效果更强且更持久。</t>
  </si>
  <si>
    <t>Fibalance®PHGG</t>
  </si>
  <si>
    <t>PCT 专利申请号PCT/CN2023/095287</t>
  </si>
  <si>
    <t xml:space="preserve">Fibalance®奖项及认证 </t>
  </si>
  <si>
    <t>上海普维安健生物科技有限公司
拥有GMP</t>
  </si>
  <si>
    <t>赞倍司生物技术（上海）有限公司是绿色生物制造创新科技企业，聚焦植物基、功能性原料两大领域，由留美归国博士组建 20 + 年研发团队，完成天使轮 + Pre-A 轮融资，自研技术已申请 PCT 专利并获国际认证与创新奖项。</t>
  </si>
  <si>
    <t xml:space="preserve"> 锌镁肌酸粉
</t>
  </si>
  <si>
    <t>康比特
锌镁肌酸</t>
  </si>
  <si>
    <t>锌镁维持睾酮分泌与神经放松，肌酸能加速肌肉 ATP 的快速再生， 锌镁肌酸是助力运动的复合补充来源。</t>
  </si>
  <si>
    <t>1.99.99% 超高纯度肌酸
2.矿物质锌提升睾酮分泌，促进肌肉生长
3.矿物质镁维持肌肉兴奋度提高肌肉代谢效率维持高运动水平</t>
  </si>
  <si>
    <t>肌酸（Creatine） 是一种天然存在于人体中的含氮有机酸，主要分布在肌肉中。人体可以自身合成肌酸，也可以从食物摄取。
肌酸是健身圈公认的 A 类补剂，享有“补剂之王”的美称。肌酸可以增加人体内磷酸肌酸的储备，不仅对运动表现的提升有重大意义，而且在认知及大脑方面也有大量已被证实的健康益。
而锌支持睾酮合成与蛋白质代谢，镁保障能量代谢与神经肌肉功能，三者协同增效，全面支持训练表现与恢复。适合力量训练者、爆发力运动员及增肌人群。</t>
  </si>
  <si>
    <t>原料：99.99% 高纯度一水肌酸
配方：搭配有机形式锌镁助力吸收
含量：每份 6 g含 2.76g一水肌酸，147mg镁，9.17mg锌</t>
  </si>
  <si>
    <t>江苏艾兰得营养品有限公司</t>
  </si>
  <si>
    <t>序号</t>
  </si>
  <si>
    <t>产品</t>
  </si>
  <si>
    <t>批次号</t>
  </si>
  <si>
    <t>合同编号</t>
  </si>
  <si>
    <t>出厂报告</t>
  </si>
  <si>
    <t>第三方检测报告</t>
  </si>
  <si>
    <t>IFOS 报告（仅鱼油有）</t>
  </si>
  <si>
    <t>SGS 英文报告（用于全球官网）</t>
  </si>
  <si>
    <t>原料 COA 1</t>
  </si>
  <si>
    <t>1</t>
  </si>
  <si>
    <t>NMN 30粒第一批</t>
  </si>
  <si>
    <t>880886</t>
  </si>
  <si>
    <t>WLOC2401-017</t>
  </si>
  <si>
    <t>香港检测-第一批NMN 30粒  .pdf：https://static.uda.cn/pdf/index.html?url=https://static.uda.cn/pdf/report1/880886/ccbg1.pdf</t>
  </si>
  <si>
    <t>【第三方基础检测及NMN含量】NMN——莱特第一批.pdf：https://static.uda.cn/pdf/index.html?url=https://static.uda.cn/pdf/report1/880886/dsf1.pdf</t>
  </si>
  <si>
    <t>2</t>
  </si>
  <si>
    <t>NMN 30粒第二批</t>
  </si>
  <si>
    <t>880887</t>
  </si>
  <si>
    <t>WLOC2404-084</t>
  </si>
  <si>
    <t>3</t>
  </si>
  <si>
    <t>UDFO2301</t>
  </si>
  <si>
    <t>WLOC2405-098</t>
  </si>
  <si>
    <t>【香港检测】鱼油——莱特第一批.pdf：https://static.uda.cn/pdf/index.html?url=https://static.uda.cn/pdf/report1/UDFO2301/ccbg1.pdf</t>
  </si>
  <si>
    <t>【第三方检测（辐射）】鱼油——莱特第一批.pdf：https://static.uda.cn/pdf/index.html?url=https://static.uda.cn/pdf/report1/UDFO2301/dsf1.pdf
【第三方检测（面积法纯度）】鱼油——莱特第一批.pdf：https://static.uda.cn/pdf/index.html?url=https://static.uda.cn/pdf/report1/UDFO2301/dsf2.pdf</t>
  </si>
  <si>
    <t>4</t>
  </si>
  <si>
    <t>美白丸</t>
  </si>
  <si>
    <t>UDAWS001</t>
  </si>
  <si>
    <t>WLOC2407-146</t>
  </si>
  <si>
    <t>【香港检测】麦角硫因谷胱甘肽——莱特第一批.pdf：https://static.uda.cn/pdf/index.html?url=https://static.uda.cn/pdf/report1/UDAWS001/ccbg1.pdf</t>
  </si>
  <si>
    <t>【第三方基础检测】麦角硫因谷胱甘肽——莱特第一批.pdf：https://static.uda.cn/pdf/index.html?url=https://static.uda.cn/pdf/report1/UDAWS001/dsf1.pdf
【第三方检测（麦角硫因含量）】麦角硫因谷胱甘肽——莱特第一批.pdf：https://static.uda.cn/pdf/index.html?url=https://static.uda.cn/pdf/report1/UDAWS001/dsf2.pdf</t>
  </si>
  <si>
    <t>5</t>
  </si>
  <si>
    <t>辅酶Q10</t>
  </si>
  <si>
    <t>UDAQH01</t>
  </si>
  <si>
    <t>WLOC2407-160</t>
  </si>
  <si>
    <t>【香港检测】辅酶——莱特第一批.pdf：https://static.uda.cn/pdf/index.html?url=https://static.uda.cn/pdf/report1/UDAQH01/ccbg1.pdf</t>
  </si>
  <si>
    <t>【第三方基础检测】辅酶——莱特第一批.pdf：https://static.uda.cn/pdf/index.html?url=https://static.uda.cn/pdf/report1/UDAQH01/dsf1.pdf</t>
  </si>
  <si>
    <t>6</t>
  </si>
  <si>
    <t>护肝第一批</t>
  </si>
  <si>
    <t>UDALDTC001</t>
  </si>
  <si>
    <t>WLOC2408-165</t>
  </si>
  <si>
    <t>【香港检测】护肝——莱特第一批.pdf：https://static.uda.cn/pdf/index.html?url=https://static.uda.cn/pdf/report1/UDALDTC001/ccbg1.pdf</t>
  </si>
  <si>
    <t>7</t>
  </si>
  <si>
    <t>SM00113601</t>
  </si>
  <si>
    <t>WLOC2408-173</t>
  </si>
  <si>
    <t>【香港检测】亚精胺——莱特第一批.pdf：https://static.uda.cn/pdf/index.html?url=https://static.uda.cn/pdf/report1/SM00113601/ccbg1.pdf</t>
  </si>
  <si>
    <t>【第三方基础检测】亚精胺——莱特第一批.pdf：https://static.uda.cn/pdf/index.html?url=https://static.uda.cn/pdf/report1/SM00113601/dsf1.pdf</t>
  </si>
  <si>
    <t>8</t>
  </si>
  <si>
    <t>TMG00113601</t>
  </si>
  <si>
    <t>WLOC2408-182</t>
  </si>
  <si>
    <t>【香港检测】TMG——莱特第一批.pdf：https://static.uda.cn/pdf/index.html?url=https://static.uda.cn/pdf/report1/TMG00113601/ccbg1.pdf</t>
  </si>
  <si>
    <t>【第三方基础检测】TMG——莱特第一批.pdf：https://static.uda.cn/pdf/index.html?url=https://static.uda.cn/pdf/report1/TMG00113601/dsf1.pdf</t>
  </si>
  <si>
    <t>9</t>
  </si>
  <si>
    <t>nmn</t>
  </si>
  <si>
    <t>NMN00113603</t>
  </si>
  <si>
    <t>WLOC2408-176</t>
  </si>
  <si>
    <t>【香港检测】NMN——莱特第三批.pdf：https://static.uda.cn/pdf/index.html?url=https://static.uda.cn/pdf/report1/NMN00113603/ccbg1.pdf</t>
  </si>
  <si>
    <t>10</t>
  </si>
  <si>
    <t>LDT00113602</t>
  </si>
  <si>
    <t>WLOC2409-188</t>
  </si>
  <si>
    <t>【香港检测】护肝——莱特第二批.pdf：https://static.uda.cn/pdf/index.html?url=https://static.uda.cn/pdf/report1/LDT00113602/ccbg1.pdf</t>
  </si>
  <si>
    <t>【第三方基础检测】护肝——莱特第二批.pdf：https://static.uda.cn/pdf/index.html?url=https://static.uda.cn/pdf/report1/LDT00113602/dsf1.pdf
【第三方水飞蓟宾检测】护肝——莱特第二批.pdf：https://static.uda.cn/pdf/index.html?url=https://static.uda.cn/pdf/report1/LDT00113602/dsf2.pdf</t>
  </si>
  <si>
    <t>11</t>
  </si>
  <si>
    <t>DK钙</t>
  </si>
  <si>
    <t>DKC00113601</t>
  </si>
  <si>
    <t>WLOC2408-183 REV.1</t>
  </si>
  <si>
    <t>【香港检测】维生素D3K2钙——莱特第一批.pdf：https://static.uda.cn/pdf/index.html?url=https://static.uda.cn/pdf/report1/DKC00113601/ccbg1.pdf</t>
  </si>
  <si>
    <t>【第三方基础检测及钙，D3含量】维生素D3K2钙——莱特第一批.pdf：https://static.uda.cn/pdf/index.html?url=https://static.uda.cn/pdf/report1/DKC00113601/dsf1.pdf
【第三方检测（K2含量）】维生素D3K2钙——莱特第一批.pdf：https://static.uda.cn/pdf/index.html?url=https://static.uda.cn/pdf/report1/DKC00113601/dsf2.pdf</t>
  </si>
  <si>
    <t>12</t>
  </si>
  <si>
    <t>FO0011362</t>
  </si>
  <si>
    <t>WLOC2408-175</t>
  </si>
  <si>
    <t>【香港检测】鱼油——莱特第二批.pdf：https://static.uda.cn/pdf/index.html?url=https://static.uda.cn/pdf/report1/FO0011362/ccbg1.pdf</t>
  </si>
  <si>
    <t>ifos检测结果 FO011362.pdf：https://static.uda.cn/pdf/index.html?url=https://static.uda.cn/pdf/report1/FO0011362/dsf1.pdf</t>
  </si>
  <si>
    <t>13</t>
  </si>
  <si>
    <t>UDAOPO01</t>
  </si>
  <si>
    <t>【出厂检测】牡蛎精——逢时第一批.pdf：https://static.uda.cn/pdf/index.html?url=https://static.uda.cn/pdf/report1/UDAOPO01/ccbg1.pdf</t>
  </si>
  <si>
    <t>【第三方基础检测】牡蛎精——逢时第一批.pdf：https://static.uda.cn/pdf/index.html?url=https://static.uda.cn/pdf/report1/UDAOPO01/dsf1.pdf</t>
  </si>
  <si>
    <t>14</t>
  </si>
  <si>
    <t>UDALE01</t>
  </si>
  <si>
    <t>【出厂检测】叶黄素——逢时第一批.pdf：https://static.uda.cn/pdf/index.html?url=https://static.uda.cn/pdf/report1/UDALE01/ccbg1.pdf</t>
  </si>
  <si>
    <t>【第三方基础检测及叶黄素】叶黄素——逢时第一批.pdf：https://static.uda.cn/pdf/index.html?url=https://static.uda.cn/pdf/report1/UDALE01/dsf1.pdf
【第三方检测（玉米黄质）】叶黄素——逢时第一批.pdf：https://static.uda.cn/pdf/index.html?url=https://static.uda.cn/pdf/report1/UDALE01/dsf2.pdf</t>
  </si>
  <si>
    <t>15</t>
  </si>
  <si>
    <t>AK00113601</t>
  </si>
  <si>
    <t>WLOC2408-178</t>
  </si>
  <si>
    <t>【香港检测】AKK——莱特第一批.pdf：https://static.uda.cn/pdf/index.html?url=https://static.uda.cn/pdf/report1/AK00113601/ccbg1.pdf</t>
  </si>
  <si>
    <t>【第三方基础检测】AKK——莱特第一批.pdf：https://static.uda.cn/pdf/index.html?url=https://static.uda.cn/pdf/report1/AK00113601/dsf1.pdf</t>
  </si>
  <si>
    <t>16</t>
  </si>
  <si>
    <t>锯棕榈蕃茄红</t>
  </si>
  <si>
    <t>SL0113601</t>
  </si>
  <si>
    <t>WLOC2409-217REV.1</t>
  </si>
  <si>
    <t>【香港检测】锯棕榈番茄红素——莱特第一批.pdf：https://static.uda.cn/pdf/index.html?url=https://static.uda.cn/pdf/report1/SL0113601/ccbg1.pdf</t>
  </si>
  <si>
    <t>【第三方基础检测】锯棕榈番茄红素——莱特第一批.pdf：https://static.uda.cn/pdf/index.html?url=https://static.uda.cn/pdf/report1/SL0113601/dsf1.pdf</t>
  </si>
  <si>
    <t>17</t>
  </si>
  <si>
    <t>LM00113601</t>
  </si>
  <si>
    <t>WLOC2408-172</t>
  </si>
  <si>
    <t>【香港检测】苏糖酸镁——莱特第一批.pdf：https://static.uda.cn/pdf/index.html?url=https://static.uda.cn/pdf/report1/LM00113601/ccbg1.pdf</t>
  </si>
  <si>
    <t>【第三方基础检测】苏糖酸镁——莱特第一批.pdf：https://static.uda.cn/pdf/index.html?url=https://static.uda.cn/pdf/report1/LM00113601/dsf1.pdf</t>
  </si>
  <si>
    <t>18</t>
  </si>
  <si>
    <t>SI00113601</t>
  </si>
  <si>
    <t>WLOC2408-171</t>
  </si>
  <si>
    <t>【香港检测】大豆异黄酮——莱特第一批.pdf：https://static.uda.cn/pdf/index.html?url=https://static.uda.cn/pdf/report1/SI00113601/ccbg1.pdf</t>
  </si>
  <si>
    <t>【第三方基础检测】大豆异黄酮——莱特第一批.pdf：https://static.uda.cn/pdf/index.html?url=https://static.uda.cn/pdf/report1/SI00113601/dsf1.pdf</t>
  </si>
  <si>
    <t>19</t>
  </si>
  <si>
    <t>SM0113602</t>
  </si>
  <si>
    <t>WLOC2409-204</t>
  </si>
  <si>
    <t>【香港检测】亚精胺——莱特第二批.pdf：https://static.uda.cn/pdf/index.html?url=https://static.uda.cn/pdf/report1/SM0113602/ccbg1.pdf</t>
  </si>
  <si>
    <t>【第三方基础检测】亚精胺——莱特第二批.pdf：https://static.uda.cn/pdf/index.html?url=https://static.uda.cn/pdf/report1/SM0113602/dsf1.pdf
【第三方检测（亚精胺含量）】亚精胺——莱特第二批.pdf：https://static.uda.cn/pdf/index.html?url=https://static.uda.cn/pdf/report1/SM0113602/dsf2.pdf</t>
  </si>
  <si>
    <t>20</t>
  </si>
  <si>
    <t>TMG0113602</t>
  </si>
  <si>
    <t>WLOC2409-203</t>
  </si>
  <si>
    <t>【香港检测】TMG——莱特第二批.pdf：https://static.uda.cn/pdf/index.html?url=https://static.uda.cn/pdf/report1/TMG0113602/ccbg1.pdf</t>
  </si>
  <si>
    <t>【第三方基础检测】TMG——莱特第二批.pdf：https://static.uda.cn/pdf/index.html?url=https://static.uda.cn/pdf/report1/TMG0113602/dsf1.pdf</t>
  </si>
  <si>
    <t>21</t>
  </si>
  <si>
    <t>LDT0113603</t>
  </si>
  <si>
    <t>WLOC2409-202</t>
  </si>
  <si>
    <t>【香港检测】护肝——莱特第三批.pdf：https://static.uda.cn/pdf/index.html?url=https://static.uda.cn/pdf/report1/LDT0113603/ccbg1.pdf</t>
  </si>
  <si>
    <t>【第三方基础检测】护肝胶囊——莱特第三批.pdf：https://static.uda.cn/pdf/index.html?url=https://static.uda.cn/pdf/report1/LDT0113603/dsf1.pdf</t>
  </si>
  <si>
    <t>22</t>
  </si>
  <si>
    <t>EG0113602</t>
  </si>
  <si>
    <t>WLOC2409-208，WLOC2410-234</t>
  </si>
  <si>
    <t>【香港检测】麦角硫因谷胱甘肽——莱特第二批.pdf：https://static.uda.cn/pdf/index.html?url=https://static.uda.cn/pdf/report1/EG0113602/ccbg1.pdf</t>
  </si>
  <si>
    <t>【第三方基础检测】麦角硫因谷胱甘肽——莱特第二批.pdf：https://static.uda.cn/pdf/index.html?url=https://static.uda.cn/pdf/report1/EG0113602/dsf1.pdf
【第三方检测（麦角硫因含量）】麦角硫因谷胱甘肽——莱特第二批.pdf：https://static.uda.cn/pdf/index.html?url=https://static.uda.cn/pdf/report1/EG0113602/dsf2.pdf</t>
  </si>
  <si>
    <t>24</t>
  </si>
  <si>
    <t>OPO00113601</t>
  </si>
  <si>
    <t>WLOC2408-179，WLOC2409-207</t>
  </si>
  <si>
    <t>【香港检测】牡蛎精——莱特第一批.pdf：https://static.uda.cn/pdf/index.html?url=https://static.uda.cn/pdf/report1/OPO00113601/ccbg1.pdf</t>
  </si>
  <si>
    <t>【第三方基础检测及牛磺酸&amp;锌含量】牡蛎精——莱特第一批.pdf：https://static.uda.cn/pdf/index.html?url=https://static.uda.cn/pdf/report1/OPO00113601/dsf1.pdf</t>
  </si>
  <si>
    <t>26</t>
  </si>
  <si>
    <t>FO0113603</t>
  </si>
  <si>
    <t>WLOC2409-209</t>
  </si>
  <si>
    <t>【香港检测】鱼油——莱特第三批.pdf：https://static.uda.cn/pdf/index.html?url=https://static.uda.cn/pdf/report1/FO0113603/ccbg1.pdf</t>
  </si>
  <si>
    <t>【第三方检测（面积法纯度）】鱼油——莱特第三批.pdf：https://static.uda.cn/pdf/index.html?url=https://static.uda.cn/pdf/report1/FO0113603/dsf1.pdf</t>
  </si>
  <si>
    <t>27</t>
  </si>
  <si>
    <t>NMN大桶装 120粒</t>
  </si>
  <si>
    <t>NMNF00113601</t>
  </si>
  <si>
    <t>WLOC2409-199 REV.1</t>
  </si>
  <si>
    <t>【香港检测】NMN大桶装——莱特第一批.pdf：https://static.uda.cn/pdf/index.html?url=https://static.uda.cn/pdf/report1/NMNF00113601/ccbg1.pdf</t>
  </si>
  <si>
    <t>【第三方检测】NMN大桶装——莱特第一批.pdf：https://static.uda.cn/pdf/index.html?url=https://static.uda.cn/pdf/report1/NMNF00113601/dsf1.pdf</t>
  </si>
  <si>
    <t>28</t>
  </si>
  <si>
    <t>AK00113602</t>
  </si>
  <si>
    <t>WLOC2409-205</t>
  </si>
  <si>
    <t>【香港检测】AKK——莱特第二批.pdf：https://static.uda.cn/pdf/index.html?url=https://static.uda.cn/pdf/report1/AK00113602/ccbg1.pdf</t>
  </si>
  <si>
    <t>【第三方基础检测】AKK——莱特第二批.pdf：https://static.uda.cn/pdf/index.html?url=https://static.uda.cn/pdf/report1/AK00113602/dsf1.pdf</t>
  </si>
  <si>
    <t>29</t>
  </si>
  <si>
    <t>QH0113602</t>
  </si>
  <si>
    <t>WLOC2410-249</t>
  </si>
  <si>
    <t>【香港检测】辅酶——莱特第二批.pdf：https://static.uda.cn/pdf/index.html?url=https://static.uda.cn/pdf/report1/QH0113602/ccbg1.pdf</t>
  </si>
  <si>
    <t>【香港检测】辅酶——莱特第二批.pdf：https://static.uda.cn/pdf/index.html?url=https://static.uda.cn/pdf/report1/QH0113602/dsf1.pdf</t>
  </si>
  <si>
    <t>30</t>
  </si>
  <si>
    <t>LE0613602</t>
  </si>
  <si>
    <t>—</t>
  </si>
  <si>
    <t>【出厂检测】叶黄素——逢时第二批.pdf：https://static.uda.cn/pdf/index.html?url=https://static.uda.cn/pdf/report1/LE0613602/ccbg1.pdf</t>
  </si>
  <si>
    <t>【第三方基础检测_叶黄素含量_玉米黄质含量】叶黄素——逢时第二批.pdf：https://static.uda.cn/pdf/index.html?url=https://static.uda.cn/pdf/report1/LE0613602/dsf1.pdf</t>
  </si>
  <si>
    <t>31</t>
  </si>
  <si>
    <t>QB0113601</t>
  </si>
  <si>
    <t>WLOC2409-190</t>
  </si>
  <si>
    <t>【香港检测】槲皮素——莱特第一批.pdf：https://static.uda.cn/pdf/index.html?url=https://static.uda.cn/pdf/report1/QB0113601/ccbg1.pdf</t>
  </si>
  <si>
    <t>【第三方基础检测+锌+铜】槲皮素——莱特第一批.pdf：https://static.uda.cn/pdf/index.html?url=https://static.uda.cn/pdf/report1/QB0113601/dsf1.pdf</t>
  </si>
  <si>
    <t>32</t>
  </si>
  <si>
    <t>PS+PQQ</t>
  </si>
  <si>
    <t>PP0113601</t>
  </si>
  <si>
    <t>WLOC2410-236 REV.1</t>
  </si>
  <si>
    <t>【香港检测】PQQ+PS——莱特第一批.pdf：https://static.uda.cn/pdf/index.html?url=https://static.uda.cn/pdf/report1/PP0113601/ccbg1.pdf</t>
  </si>
  <si>
    <t>【第三方检测】PQQ+PS——莱特第一批.pdf：https://static.uda.cn/pdf/index.html?url=https://static.uda.cn/pdf/report1/PP0113601/dsf1.pdf</t>
  </si>
  <si>
    <t>33</t>
  </si>
  <si>
    <t>姜黄</t>
  </si>
  <si>
    <t>UC0113601</t>
  </si>
  <si>
    <t>WLOC2409-224</t>
  </si>
  <si>
    <t>【香港检测】姜黄素——莱特第一批.pdf：https://static.uda.cn/pdf/index.html?url=https://static.uda.cn/pdf/report1/UC0113601/ccbg1.pdf</t>
  </si>
  <si>
    <t>【第三方检测】姜黄素——莱特第一批.pdf：https://static.uda.cn/pdf/index.html?url=https://static.uda.cn/pdf/report1/UC0113601/dsf1.pdf</t>
  </si>
  <si>
    <t>34</t>
  </si>
  <si>
    <t>GC0113601</t>
  </si>
  <si>
    <t>WLOC2409-215</t>
  </si>
  <si>
    <t>【香港检测】氨糖软骨素——莱特第一批.pdf：https://static.uda.cn/pdf/index.html?url=https://static.uda.cn/pdf/report1/GC0113601/ccbg1.pdf</t>
  </si>
  <si>
    <t>【第三方基础检测】氨糖软骨素——莱特第一批.pdf：https://static.uda.cn/pdf/index.html?url=https://static.uda.cn/pdf/report1/GC0113601/dsf1.pdf</t>
  </si>
  <si>
    <t>35</t>
  </si>
  <si>
    <t>DKC0113602</t>
  </si>
  <si>
    <t>WLOC2410-232 REV1</t>
  </si>
  <si>
    <t>【香港检测】维生素D3K2钙——莱特第二批.pdf：https://static.uda.cn/pdf/index.html?url=https://static.uda.cn/pdf/report1/DKC0113602/ccbg1.pdf</t>
  </si>
  <si>
    <t>【第三方检测维生素k2含量】维生素dk钙——莱特第二批.pdf：https://static.uda.cn/pdf/index.html?url=https://static.uda.cn/pdf/report1/DKC0113602/dsf1.pdf
【第三方基础检测_钙_维生素d3含量】维生素dk钙——莱特第二批.pdf：https://static.uda.cn/pdf/index.html?url=https://static.uda.cn/pdf/report1/DKC0113602/dsf2.pdf</t>
  </si>
  <si>
    <t>36</t>
  </si>
  <si>
    <t>NMN 30粒</t>
  </si>
  <si>
    <t>NMN0113604</t>
  </si>
  <si>
    <t>WLOC2411-299</t>
  </si>
  <si>
    <t>【香港检测】NMN——莱特第四批.pdf：https://static.uda.cn/pdf/index.html?url=https://static.uda.cn/pdf/report1/NMN0113604/ccbg1.pdf</t>
  </si>
  <si>
    <t>【第三方基础检测】NMN——莱特第四批.pdf：https://static.uda.cn/pdf/index.html?url=https://static.uda.cn/pdf/report1/NMN0113604/dsf1.pdf</t>
  </si>
  <si>
    <t>【SGS 英文报告（重金属+微生物）】NMN 小瓶（批号 NMN0113604）.pdf：https://static.uda.cn/pdf/index.html?url=https://static.uda.cn/pdf/report1/NMN0113604/SGS1.pdf
【SGS 英文报告（纯度）】NMN（批号 NMN0113604）.pdf：https://static.uda.cn/pdf/index.html?url=https://static.uda.cn/pdf/report1/NMN0113604/SGS2.pdf</t>
  </si>
  <si>
    <t>37</t>
  </si>
  <si>
    <t>苏糖酸镁（非专利）</t>
  </si>
  <si>
    <t>LM0113602</t>
  </si>
  <si>
    <t>WLOC2409-206</t>
  </si>
  <si>
    <t>【香港检测】苏糖酸镁——莱特第二批.pdf：https://static.uda.cn/pdf/index.html?url=https://static.uda.cn/pdf/report1/LM0113602/ccbg1.pdf</t>
  </si>
  <si>
    <t>【第三方基础检测_镁含量】苏糖酸镁——莱特第二批.pdf：https://static.uda.cn/pdf/index.html?url=https://static.uda.cn/pdf/report1/LM0113602/dsf1.pdf</t>
  </si>
  <si>
    <t>38</t>
  </si>
  <si>
    <t>QB0113602</t>
  </si>
  <si>
    <t>WLOC2410-233</t>
  </si>
  <si>
    <t>【香港检测】槲皮素——莱特第二批.pdf：https://static.uda.cn/pdf/index.html?url=https://static.uda.cn/pdf/report1/QB0113602/ccbg1.pdf</t>
  </si>
  <si>
    <t>【第三方基础检测_锌含量_铜含量】槲皮素——莱特第二批.pdf：https://static.uda.cn/pdf/index.html?url=https://static.uda.cn/pdf/report1/QB0113602/dsf1.pdf</t>
  </si>
  <si>
    <t>39</t>
  </si>
  <si>
    <t>LDT013604</t>
  </si>
  <si>
    <t xml:space="preserve">WLOC2411-279 </t>
  </si>
  <si>
    <t>【香港检测】护肝胶囊——莱特第四批.pdf：https://static.uda.cn/pdf/index.html?url=https://static.uda.cn/pdf/report1/LDT013604/ccbg1.pdf</t>
  </si>
  <si>
    <t>【第三方含量检测】护肝（批号：LDT013604）——莱特第四批.pdf：https://static.uda.cn/pdf/index.html?url=https://static.uda.cn/pdf/report1/LDT013604/dsf1.pdf
【第三方基础检测】护肝（批号：LDT013604）——莱特第四批.pdf：https://static.uda.cn/pdf/index.html?url=https://static.uda.cn/pdf/report1/LDT013604/dsf2.pdf</t>
  </si>
  <si>
    <t>40</t>
  </si>
  <si>
    <t>鱼油（第四批）</t>
  </si>
  <si>
    <t>FO0115801</t>
  </si>
  <si>
    <t>WLOC2412-309</t>
  </si>
  <si>
    <t>【香港检测】鱼油——莱特第四第五批合并.pdf：https://static.uda.cn/pdf/index.html?url=https://static.uda.cn/pdf/report1/FO0115801/ccbg1.pdf
【香港检测】鱼油——莱特第四第五批合并.pdf：https://static.uda.cn/pdf/index.html?url=https://static.uda.cn/pdf/report1/FO0115801/ccbg1.pdf</t>
  </si>
  <si>
    <t>【第三方检测（重金属，微生物，酸价，过氧化值）】鱼油——莱特第四批第五批合并.pdf：https://static.uda.cn/pdf/index.html?url=https://static.uda.cn/pdf/report1/FO0115801/dsf1.pdf
【第三方检测（面积法纯度）】鱼油——莱特第四五批.pdf：https://static.uda.cn/pdf/index.html?url=https://static.uda.cn/pdf/report1/FO0115801/dsf2.pdf
【第三方检测（重金属，微生物，酸价，过氧化值）】鱼油——莱特第四批第五批合并.pdf：https://static.uda.cn/pdf/index.html?url=https://static.uda.cn/pdf/report1/FO0115801/dsf1.pdf
【第三方检测（面积法纯度）】鱼油——莱特第四五批.pdf：https://static.uda.cn/pdf/index.html?url=https://static.uda.cn/pdf/report1/FO0115801/dsf2.pdf</t>
  </si>
  <si>
    <t>41</t>
  </si>
  <si>
    <t>女性维生素</t>
  </si>
  <si>
    <t>WV0613601</t>
  </si>
  <si>
    <t>202403</t>
  </si>
  <si>
    <t>【出厂检测】女士复合维生素——逢时第一批.pdf：https://static.uda.cn/pdf/index.html?url=https://static.uda.cn/pdf/report1/WV0613601/ccbg1.pdf</t>
  </si>
  <si>
    <t>【第三方基础检测】女性维生素——逢时第一批.pdf：https://static.uda.cn/pdf/index.html?url=https://static.uda.cn/pdf/report1/WV0613601/dsf1.pdf</t>
  </si>
  <si>
    <t>42</t>
  </si>
  <si>
    <t>NMN 120粒（莱特第二批）</t>
  </si>
  <si>
    <t>NMNF0115801</t>
  </si>
  <si>
    <t>WLOC2412-303</t>
  </si>
  <si>
    <t>【香港检测】NMN大桶装——莱特第二批.pdf：https://static.uda.cn/pdf/index.html?url=https://static.uda.cn/pdf/report1/NMNF0115801/ccbg1.pdf</t>
  </si>
  <si>
    <t>【第三方检测（基础检测）】NMN大桶装——莱特第二批.pdf：https://static.uda.cn/pdf/index.html?url=https://static.uda.cn/pdf/report1/NMNF0115801/dsf1.pdf</t>
  </si>
  <si>
    <t>43</t>
  </si>
  <si>
    <t>麦角硫因&amp;谷胱甘肽</t>
  </si>
  <si>
    <t>EG0115801</t>
  </si>
  <si>
    <t>WLOC2412-314</t>
  </si>
  <si>
    <t>【香港检测】麦角硫因谷胱甘肽——莱特第三批.pdf：https://static.uda.cn/pdf/index.html?url=https://static.uda.cn/pdf/report1/EG0115801/ccbg1.pdf</t>
  </si>
  <si>
    <t>【第三方检测（基础检测）】麦角硫因谷胱甘肽——莱特第三批.pdf：https://static.uda.cn/pdf/index.html?url=https://static.uda.cn/pdf/report1/EG0115801/dsf1.pdf
【第三方检测（麦角硫因含量）】麦角硫因谷胱甘肽——莱特第三批.pdf：https://static.uda.cn/pdf/index.html?url=https://static.uda.cn/pdf/report1/EG0115801/dsf2.pdf</t>
  </si>
  <si>
    <t>44</t>
  </si>
  <si>
    <t>男性维生素</t>
  </si>
  <si>
    <t>MV0613601</t>
  </si>
  <si>
    <t>【出厂检测】男士复合维生素——逢时第一批.pdf：https://static.uda.cn/pdf/index.html?url=https://static.uda.cn/pdf/report1/MV0613601/ccbg1.pdf</t>
  </si>
  <si>
    <t>【第三方基础检测】男性维生素——逢时第一批.pdf：https://static.uda.cn/pdf/index.html?url=https://static.uda.cn/pdf/report1/MV0613601/dsf1.pdf</t>
  </si>
  <si>
    <t>45</t>
  </si>
  <si>
    <t>SI0115801</t>
  </si>
  <si>
    <t>WLOC2412-312</t>
  </si>
  <si>
    <t>【香港检测】大豆异黄酮——莱特第二批.pdf：https://static.uda.cn/pdf/index.html?url=https://static.uda.cn/pdf/report1/SI0115801/ccbg1.pdf</t>
  </si>
  <si>
    <t>【第三方基础检测】大豆异黄酮——莱特第二批.pdf：https://static.uda.cn/pdf/index.html?url=https://static.uda.cn/pdf/report1/SI0115801/dsf1.pdf</t>
  </si>
  <si>
    <t>46</t>
  </si>
  <si>
    <t>鱼油
（第五批，但和第四批同批次号）</t>
  </si>
  <si>
    <t>WLOC2412-322</t>
  </si>
  <si>
    <t>47</t>
  </si>
  <si>
    <t>NMN 120粒 （莱特第三批）</t>
  </si>
  <si>
    <t>NMNF0115802</t>
  </si>
  <si>
    <t>WLOC2412-307
WLOC2412-307 rev.1</t>
  </si>
  <si>
    <t>【香港检测】NMN大桶装——莱特第三批.pdf：https://static.uda.cn/pdf/index.html?url=https://static.uda.cn/pdf/report1/NMNF0115802/ccbg1.pdf</t>
  </si>
  <si>
    <t>【第三方检测（基础检测）】NMN大桶装——莱特第三批.pdf：https://static.uda.cn/pdf/index.html?url=https://static.uda.cn/pdf/report1/NMNF0115802/dsf1.pdf
【第三方检测】NMN大桶装（纯度）——莱特第三批.pdf：https://static.uda.cn/pdf/index.html?url=https://static.uda.cn/pdf/report1/NMNF0115802/dsf2.pdf</t>
  </si>
  <si>
    <t>48</t>
  </si>
  <si>
    <t>AKK（第三批）</t>
  </si>
  <si>
    <t>AK0115801</t>
  </si>
  <si>
    <t>WLOC2412-324</t>
  </si>
  <si>
    <t>【香港检测】AKK——莱特第三批.pdf：https://static.uda.cn/pdf/index.html?url=https://static.uda.cn/pdf/report1/AK0115801/ccbg1.pdf</t>
  </si>
  <si>
    <t>【第三方基础检测】AKK——莱特第三批.pdf：https://static.uda.cn/pdf/index.html?url=https://static.uda.cn/pdf/report1/AK0115801/dsf1.pdf</t>
  </si>
  <si>
    <t>49</t>
  </si>
  <si>
    <t>姜黄素（第二批）</t>
  </si>
  <si>
    <t>UC0115801</t>
  </si>
  <si>
    <t>WLOC2412-327</t>
  </si>
  <si>
    <t>【香港检测】姜黄素——莱特第二批.pdf：https://static.uda.cn/pdf/index.html?url=https://static.uda.cn/pdf/report1/UC0115801/ccbg1.pdf</t>
  </si>
  <si>
    <t>【第三方检测】姜黄素——莱特第二批.pdf：https://static.uda.cn/pdf/index.html?url=https://static.uda.cn/pdf/report1/UC0115801/dsf1.pdf</t>
  </si>
  <si>
    <t>50</t>
  </si>
  <si>
    <t>苏糖酸镁（大桶装第一批）</t>
  </si>
  <si>
    <t>LM0115801</t>
  </si>
  <si>
    <t>WLOC2412-313</t>
  </si>
  <si>
    <t>【香港检测】苏糖酸镁大桶装——莱特第一批.pdf：https://static.uda.cn/pdf/index.html?url=https://static.uda.cn/pdf/report1/LM0115801/ccbg1.pdf</t>
  </si>
  <si>
    <t>【第三方检测（基础检测+镁含量）】苏糖酸镁大桶装——莱特第一批.pdf：https://static.uda.cn/pdf/index.html?url=https://static.uda.cn/pdf/report1/LM0115801/dsf1.pdf</t>
  </si>
  <si>
    <t>51</t>
  </si>
  <si>
    <t>DKC0115801</t>
  </si>
  <si>
    <t>WLOC2412-325</t>
  </si>
  <si>
    <t>【香港检测】维生素D3K2钙——莱特第三批.pdf：https://static.uda.cn/pdf/index.html?url=https://static.uda.cn/pdf/report1/DKC0115801/ccbg1.pdf</t>
  </si>
  <si>
    <t>【第三方基础+含量检测】DK钙（批号：DKC0115801）——莱特第三批.pdf：https://static.uda.cn/pdf/index.html?url=https://static.uda.cn/pdf/report1/DKC0115801/dsf1.pdf
【第三方检测】【K2含量】DK钙（批号DKC0115801）——莱特第三批.pdf：https://static.uda.cn/pdf/index.html?url=https://static.uda.cn/pdf/report1/DKC0115801/dsf2.pdf</t>
  </si>
  <si>
    <t>52</t>
  </si>
  <si>
    <t>906014463</t>
  </si>
  <si>
    <t>南非碎茄</t>
  </si>
  <si>
    <t>【出厂检测】南非醉茄——瑞普斯第一批.pdf：https://static.uda.cn/pdf/index.html?url=https://static.uda.cn/pdf/report1/906014463/ccbg1.pdf</t>
  </si>
  <si>
    <t>【第三方检测（基础检测）】南非醉茄——瑞普斯第一批.pdf：https://static.uda.cn/pdf/index.html?url=https://static.uda.cn/pdf/report1/906014463/dsf1.pdf</t>
  </si>
  <si>
    <t>53</t>
  </si>
  <si>
    <t>鱼油 (第六批)</t>
  </si>
  <si>
    <t>FO0115802</t>
  </si>
  <si>
    <t>WLOC2501-010 REV.1</t>
  </si>
  <si>
    <t>【香港检测】鱼油——莱特第六批.pdf：https://static.uda.cn/pdf/index.html?url=https://static.uda.cn/pdf/report1/FO0115802/ccbg1.pdf</t>
  </si>
  <si>
    <t>【第三方基础检测】鱼油（批号FO0115802）——莱特第六批.pdf：https://static.uda.cn/pdf/index.html?url=https://static.uda.cn/pdf/report1/FO0115802/dsf1.pdf
【SGS过氧化值检测】鱼油（批号FO0115802）——莱特第六批.pdf：https://static.uda.cn/pdf/index.html?url=https://static.uda.cn/pdf/report1/FO0115802/dsf2.pdf
【第三方检测】鱼油（批号：FO0115802）辐射检测——莱特第六批.pdf：https://static.uda.cn/pdf/index.html?url=https://static.uda.cn/pdf/report1/FO0115802/dsf3.pdf
【第三方脂肪酸含量检测（AOAC法）】鱼油（批号FO0115802）——莱特第六批pdf.pdf：https://static.uda.cn/pdf/index.html?url=https://static.uda.cn/pdf/report1/FO0115802/dsf4.pdf
【第三方脂肪酸含量检测（国标第三法）】鱼油（批号FO0115802）——莱特第六批.pdf：https://static.uda.cn/pdf/index.html?url=https://static.uda.cn/pdf/report1/FO0115802/dsf5.pdf</t>
  </si>
  <si>
    <t>54</t>
  </si>
  <si>
    <t>GC0115801</t>
  </si>
  <si>
    <t>WLOC2412-323</t>
  </si>
  <si>
    <t>【香港检测】氨糖软骨素——莱特第二批（批号：GC0115801）.pdf：https://static.uda.cn/pdf/index.html?url=https://static.uda.cn/pdf/report1/GC0115801/ccbg1.pdf</t>
  </si>
  <si>
    <t>【第三方基础检测】氨糖（批号：GC0115801）——莱特第二批.pdf：https://static.uda.cn/pdf/index.html?url=https://static.uda.cn/pdf/report1/GC0115801/dsf1.pdf</t>
  </si>
  <si>
    <t>55</t>
  </si>
  <si>
    <t>LE0615801</t>
  </si>
  <si>
    <t>【出厂检测】叶黄素（批号：LE0615801）——逢时第三批.pdf：https://static.uda.cn/pdf/index.html?url=https://static.uda.cn/pdf/report1/LE0615801/ccbg1.pdf</t>
  </si>
  <si>
    <t>【第三方检测】叶黄素（批号LE0615801）——逢时第三批.pdf：https://static.uda.cn/pdf/index.html?url=https://static.uda.cn/pdf/report1/LE0615801/dsf1.pdf
【第三方玉米黄质含量检测】叶黄素（批号LE0615801）——逢时第三批.pdf：https://static.uda.cn/pdf/index.html?url=https://static.uda.cn/pdf/report1/LE0615801/dsf2.pdf</t>
  </si>
  <si>
    <t>56</t>
  </si>
  <si>
    <t>NMN 120粒（莱特第四批）</t>
  </si>
  <si>
    <t>NMNF0115803</t>
  </si>
  <si>
    <t>WLOC2501-016</t>
  </si>
  <si>
    <t>【香港检测】NMN大桶装——莱特第四批（批号：NMNF0115803）.pdf：https://static.uda.cn/pdf/index.html?url=https://static.uda.cn/pdf/report1/NMNF0115803/ccbg1.pdf</t>
  </si>
  <si>
    <t>【第三方纯度检测】NMN大桶装（批号：NMNF0115803）——莱特第四批.pdf：https://static.uda.cn/pdf/index.html?url=https://static.uda.cn/pdf/report1/NMNF0115803/dsf1.pdf
【第三方基础检测】NMN大桶装（批号：NMNF0115803）——莱特第四批.pdf：https://static.uda.cn/pdf/index.html?url=https://static.uda.cn/pdf/report1/NMNF0115803/dsf2.pdf</t>
  </si>
  <si>
    <t>57</t>
  </si>
  <si>
    <t>AKK（第四批）</t>
  </si>
  <si>
    <t>AK0115802</t>
  </si>
  <si>
    <t>WLOC2501-008</t>
  </si>
  <si>
    <t>【香港检测】AKK——莱特第四批（批号：AK0115802）.pdf：https://static.uda.cn/pdf/index.html?url=https://static.uda.cn/pdf/report1/AK0115802/ccbg1.pdf</t>
  </si>
  <si>
    <t>【第三方基础检测】AKK（批号：AK0115802）——莱特第四批.pdf：https://static.uda.cn/pdf/index.html?url=https://static.uda.cn/pdf/report1/AK0115802/dsf1.pdf</t>
  </si>
  <si>
    <t>58</t>
  </si>
  <si>
    <t>锯棕榈番茄红</t>
  </si>
  <si>
    <t>SL0115801</t>
  </si>
  <si>
    <t>WLOC2501-006</t>
  </si>
  <si>
    <t>59</t>
  </si>
  <si>
    <t>EG0115802</t>
  </si>
  <si>
    <t>WLOC2501-009</t>
  </si>
  <si>
    <t>【香港检测】麦角硫因谷胱甘肽——莱特第四批.pdf：https://static.uda.cn/pdf/index.html?url=https://static.uda.cn/pdf/report1/EG0115802/ccbg1.pdf</t>
  </si>
  <si>
    <t>【第三方基础检测】麦角硫因谷胱甘肽（批号：EG0115802）——莱特第四批.pdf：https://static.uda.cn/pdf/index.html?url=https://static.uda.cn/pdf/report1/EG0115802/dsf1.pdf
【第三方含量检测】麦角硫因谷胱甘肽（批号EG0115802）——莱特第四批.pdf：https://static.uda.cn/pdf/index.html?url=https://static.uda.cn/pdf/report1/EG0115802/dsf2.pdf</t>
  </si>
  <si>
    <t>60</t>
  </si>
  <si>
    <t>辅酶q10</t>
  </si>
  <si>
    <t>QH0115801</t>
  </si>
  <si>
    <t>WLOC2501-013</t>
  </si>
  <si>
    <t>【香港检测】辅酶——第三批（批号：QH0115801）.pdf：https://static.uda.cn/pdf/index.html?url=https://static.uda.cn/pdf/report1/QH0115801/ccbg1.pdf</t>
  </si>
  <si>
    <t>【第三方基础检测】辅酶（批号：QH0115801）——莱特第三批.pdf：https://static.uda.cn/pdf/index.html?url=https://static.uda.cn/pdf/report1/QH0115801/dsf1.pdf</t>
  </si>
  <si>
    <t>61</t>
  </si>
  <si>
    <t>DKC0115802</t>
  </si>
  <si>
    <t>WLOC2501-014</t>
  </si>
  <si>
    <t>【香港佳力高检测】维生素D3K2钙（批号DKC0115802）——莱特第四批.pdf：https://static.uda.cn/pdf/index.html?url=https://static.uda.cn/pdf/report1/DKC0115802/ccbg1.pdf</t>
  </si>
  <si>
    <t>【SGS基础+含量检测】维生素D3K2钙（批号DKC0115802）——莱特第四批.pdf：https://static.uda.cn/pdf/index.html?url=https://static.uda.cn/pdf/report1/DKC0115802/dsf1.pdf
【SGS K2含量检测】维生素D3K2钙（批号DKC0115802）——莱特第四批.pdf：https://static.uda.cn/pdf/index.html?url=https://static.uda.cn/pdf/report1/DKC0115802/dsf2.pdf</t>
  </si>
  <si>
    <t>62</t>
  </si>
  <si>
    <t>苏糖酸镁（大桶装第二批）</t>
  </si>
  <si>
    <t>LMF0115802</t>
  </si>
  <si>
    <t>【香港佳力高检测】苏糖酸镁大桶装（批号：LMF0115802）——莱特第二批.pdf：https://static.uda.cn/pdf/index.html?url=https://static.uda.cn/pdf/report1/LMF0115802/ccbg1.pdf</t>
  </si>
  <si>
    <t>【SGS 基础+镁含量 检测】苏糖酸镁大桶装（批号LMF0115802）——莱特第二批.pdf：https://static.uda.cn/pdf/index.html?url=https://static.uda.cn/pdf/report1/LMF0115802/dsf1.pdf</t>
  </si>
  <si>
    <t>63</t>
  </si>
  <si>
    <t>苏糖酸镁（大桶装第三批）</t>
  </si>
  <si>
    <t>LMF0115803</t>
  </si>
  <si>
    <t>WLOC2501-015</t>
  </si>
  <si>
    <t>【香港佳力高检测】苏糖酸镁大桶装（批号LMF0115803）——莱特第三批.pdf：https://static.uda.cn/pdf/index.html?url=https://static.uda.cn/pdf/report1/LMF0115803/ccbg1.pdf</t>
  </si>
  <si>
    <t>【SGS 基础+镁含量 检测】苏糖酸镁大桶装（批号LMF0115803）——莱特第三批.pdf：https://static.uda.cn/pdf/index.html?url=https://static.uda.cn/pdf/report1/LMF0115803/dsf1.pdf</t>
  </si>
  <si>
    <t>64</t>
  </si>
  <si>
    <t>EG0115803</t>
  </si>
  <si>
    <t>【香港佳力高检测】麦角硫因谷胱甘肽（批号EG0115803）——莱特第五批.pdf：https://static.uda.cn/pdf/index.html?url=https://static.uda.cn/pdf/report1/EG0115803/ccbg1.pdf</t>
  </si>
  <si>
    <t>【SGS基础检测】麦角硫因谷胱甘肽（批号EG0115803）——莱特第五批.pdf：https://static.uda.cn/pdf/index.html?url=https://static.uda.cn/pdf/report1/EG0115803/dsf1.pdf
【SGS含量检测】麦角硫因谷胱甘肽（批号EG0115803）——莱特第五批.pdf：https://static.uda.cn/pdf/index.html?url=https://static.uda.cn/pdf/report1/EG0115803/dsf2.pdf</t>
  </si>
  <si>
    <t>65</t>
  </si>
  <si>
    <t>辅酶Q10（四）</t>
  </si>
  <si>
    <t>QH0115802</t>
  </si>
  <si>
    <t>【香港佳力高检测】辅酶Q10（批号QH0115802）——莱特第四批.pdf：https://static.uda.cn/pdf/index.html?url=https://static.uda.cn/pdf/report1/QH0115802/ccbg1.pdf</t>
  </si>
  <si>
    <t>【SGS基础检测】辅酶Q10（批号QH0115802）——莱特第四批.pdf：https://static.uda.cn/pdf/index.html?url=https://static.uda.cn/pdf/report1/QH0115802/dsf1.pdf</t>
  </si>
  <si>
    <t>66</t>
  </si>
  <si>
    <t>NMNF0115804</t>
  </si>
  <si>
    <t>【香港佳力高检测】NMN大桶装（批号NMNF0115804）——莱特第五批.pdf：https://static.uda.cn/pdf/index.html?url=https://static.uda.cn/pdf/report1/NMNF0115804/ccbg1.pdf</t>
  </si>
  <si>
    <t>【SGS基础+含量检测】NMN大桶装（批号NMNF0115804）——莱特第五批.pdf：https://static.uda.cn/pdf/index.html?url=https://static.uda.cn/pdf/report1/NMNF0115804/dsf1.pdf</t>
  </si>
  <si>
    <t>67</t>
  </si>
  <si>
    <t>鱼油（七）</t>
  </si>
  <si>
    <t>FO0115803</t>
  </si>
  <si>
    <t>【香港佳力高检测】鱼油（批号：FO0115803）——莱特第七批.pdf：https://static.uda.cn/pdf/index.html?url=https://static.uda.cn/pdf/report1/FO0115803/ccbg1.pdf</t>
  </si>
  <si>
    <t>【SGS多氯联苯检测】鱼油（批号FO0115803）——莱特第七批.pdf：https://static.uda.cn/pdf/index.html?url=https://static.uda.cn/pdf/report1/FO0115803/dsf1.pdf
【SGS微生物检测】鱼油（批号FO0115803）——莱特第七批.pdf：https://static.uda.cn/pdf/index.html?url=https://static.uda.cn/pdf/report1/FO0115803/dsf2.pdf
【SGS二噁英检测】鱼油（批号FO0115803）——莱特第七批.pdf：https://static.uda.cn/pdf/index.html?url=https://static.uda.cn/pdf/report1/FO0115803/dsf3.pdf
【SGS脂肪酸含量检测（面积法）】鱼油（批号FO0115803）——莱特第七批.pdf：https://static.uda.cn/pdf/index.html?url=https://static.uda.cn/pdf/report1/FO0115803/dsf4.pdf
【SGS放射性检测】鱼油（批号FO0115803）——莱特第七批.pdf：https://static.uda.cn/pdf/index.html?url=https://static.uda.cn/pdf/report1/FO0115803/dsf5.pdf
【SGS重金属+稳定性检测】鱼油（批号FO0115803）——莱特第七批.pdf：https://static.uda.cn/pdf/index.html?url=https://static.uda.cn/pdf/report1/FO0115803/dsf6.pdf</t>
  </si>
  <si>
    <t>68</t>
  </si>
  <si>
    <t>姜黄素（三）</t>
  </si>
  <si>
    <t>UC0115802</t>
  </si>
  <si>
    <t>【香港佳力高检测】姜黄素（批号UC0115802）——莱特第三批.pdf：https://static.uda.cn/pdf/index.html?url=https://static.uda.cn/pdf/report1/UC0115802/ccbg1.pdf</t>
  </si>
  <si>
    <t>【SGS基础检测】姜黄素（批号UC0115802）——莱特第三批.pdf：https://static.uda.cn/pdf/index.html?url=https://static.uda.cn/pdf/report1/UC0115802/dsf1.pdf</t>
  </si>
  <si>
    <t>69</t>
  </si>
  <si>
    <t>奶蓟草护肝 （莱特第五批）</t>
  </si>
  <si>
    <t>LDT0115801</t>
  </si>
  <si>
    <t>WLOC2501-007</t>
  </si>
  <si>
    <t>【香港佳力高检测】护肝胶囊（批号LDT0115801）——莱特第五批.pdf：https://static.uda.cn/pdf/index.html?url=https://static.uda.cn/pdf/report1/LDT0115801/ccbg1.pdf</t>
  </si>
  <si>
    <t>【SGS基础检测】护肝胶囊（批号LDT0115801）——莱特第五批.pdf：https://static.uda.cn/pdf/index.html?url=https://static.uda.cn/pdf/report1/LDT0115801/dsf1.pdf
【SGS水飞蓟宾含量检测】护肝胶囊（批号LDT0115801）——莱特第五批.pdf：https://static.uda.cn/pdf/index.html?url=https://static.uda.cn/pdf/report1/LDT0115801/dsf2.pdf</t>
  </si>
  <si>
    <t>70</t>
  </si>
  <si>
    <t>叶黄素（四）</t>
  </si>
  <si>
    <t>LE0615803</t>
  </si>
  <si>
    <t>【美国出厂检测】叶黄素（批号LE0615803）——逢时第四批.pdf：https://static.uda.cn/pdf/index.html?url=https://static.uda.cn/pdf/report1/LE0615803/ccbg1.pdf</t>
  </si>
  <si>
    <t>【SGS基础+叶黄素含量检测】叶黄素（批号LE0615803）——逢时第四批.pdf：https://static.uda.cn/pdf/index.html?url=https://static.uda.cn/pdf/report1/LE0615803/dsf1.pdf
【SGS玉米黄质含量检测】叶黄素（批号LE0615803）——逢时第四批.pdf：https://static.uda.cn/pdf/index.html?url=https://static.uda.cn/pdf/report1/LE0615803/dsf2.pdf</t>
  </si>
  <si>
    <t>71</t>
  </si>
  <si>
    <t>AKK（五）</t>
  </si>
  <si>
    <t>AK0115803</t>
  </si>
  <si>
    <t>【香港佳力高检测】AKK（批号AK0115803）——莱特第五批.pdf：https://static.uda.cn/pdf/index.html?url=https://static.uda.cn/pdf/report1/AK0115803/ccbg1.pdf</t>
  </si>
  <si>
    <t>【SGS基础检测】AKK（批号AK0115803）——莱特第五批.pdf：https://static.uda.cn/pdf/index.html?url=https://static.uda.cn/pdf/report1/AK0115803/dsf1.pdf</t>
  </si>
  <si>
    <t>72</t>
  </si>
  <si>
    <t>活性男士复合维生素（二）</t>
  </si>
  <si>
    <t>MV0615801</t>
  </si>
  <si>
    <t>【美国出厂检测】男维（批号：MV0615801）——逢时第二批.pdf：https://static.uda.cn/pdf/index.html?url=https://static.uda.cn/pdf/report1/MV0615801/ccbg1.pdf</t>
  </si>
  <si>
    <t>【SGS B2、B6含量检测】男士复合维生素（批号MV0615801）——逢时第二批.pdf：https://static.uda.cn/pdf/index.html?url=https://static.uda.cn/pdf/report1/MV0615801/dsf1.pdf
【SGS基础检测】活性男士复合维生素（批号MV0615801）——逢时第二批.pdf：https://static.uda.cn/pdf/index.html?url=https://static.uda.cn/pdf/report1/MV0615801/dsf2.pdf
【SGS生物素含量检测】男士复合维生素（批号MV0615801）——逢时第二批.pdf：https://static.uda.cn/pdf/index.html?url=https://static.uda.cn/pdf/report1/MV0615801/dsf3.pdf
【SGS维矿含量检测】男士复合维生素（批号MV0615801）——逢时第二批.pdf：https://static.uda.cn/pdf/index.html?url=https://static.uda.cn/pdf/report1/MV0615801/dsf4.pdf</t>
  </si>
  <si>
    <t>73</t>
  </si>
  <si>
    <t>鱼油（八）</t>
  </si>
  <si>
    <t>FO0115804</t>
  </si>
  <si>
    <t>【香港佳力高检测】鱼油（批号FO0115804）——莱特第八批.pdf：https://static.uda.cn/pdf/index.html?url=https://static.uda.cn/pdf/report1/FO0115804/ccbg1.pdf</t>
  </si>
  <si>
    <t>【SGS重金属+微生物+稳定性+含量检测】鱼油（批号FO0115804）——莱特第八批.pdf：https://static.uda.cn/pdf/index.html?url=https://static.uda.cn/pdf/report1/FO0115804/dsf1.pdf
【SGS辐射检测】鱼油（批号FO0115804）——莱特第八批.pdf：https://static.uda.cn/pdf/index.html?url=https://static.uda.cn/pdf/report1/FO0115804/dsf2.pdf</t>
  </si>
  <si>
    <t>鱼油 IFOS（批号 FO0115804）.pdf：https://static.uda.cn/pdf/index.html?url=https://static.uda.cn/pdf/report1/FO0115804/IFOS1.pdf
鱼油 RTCP 证书（批号 FO0115804）.pdf：https://static.uda.cn/pdf/index.html?url=https://static.uda.cn/pdf/report1/FO0115804/IFOS2.pdf</t>
  </si>
  <si>
    <t>【SGS 英文报告（重金属+微生物+稳定性+含量）】鱼油（批号 FO0115804）.pdf：https://static.uda.cn/pdf/index.html?url=https://static.uda.cn/pdf/report1/FO0115804/SGS1.pdf
【SGS 英文报告（辐射）】鱼油（批号 FO0115804）.pdf：https://static.uda.cn/pdf/index.html?url=https://static.uda.cn/pdf/report1/FO0115804/SGS2.pdf</t>
  </si>
  <si>
    <t>74</t>
  </si>
  <si>
    <t>活性女士复合维生素（二）</t>
  </si>
  <si>
    <t>WV0615801</t>
  </si>
  <si>
    <t>【美国出厂检测】女维（批号WV0615801）——逢时第二批.pdf：https://static.uda.cn/pdf/index.html?url=https://static.uda.cn/pdf/report1/WV0615801/ccbg1.pdf</t>
  </si>
  <si>
    <t>【SGS B2、B6含量检测】女士复合维生素（批号WV0615801）——逢时第二批.pdf：https://static.uda.cn/pdf/index.html?url=https://static.uda.cn/pdf/report1/WV0615801/dsf1.pdf
【SGS基础检测】女士复合维生素（批号WV0615801）——逢时第二批.pdf：https://static.uda.cn/pdf/index.html?url=https://static.uda.cn/pdf/report1/WV0615801/dsf2.pdf
【SGS生物素含量检测】女士复合维生素（批号WV0615801）——逢时第二批.pdf：https://static.uda.cn/pdf/index.html?url=https://static.uda.cn/pdf/report1/WV0615801/dsf3.pdf
【SGS维矿含量检测】女士复合维生素（批号WV0615801）——逢时第二批.pdf：https://static.uda.cn/pdf/index.html?url=https://static.uda.cn/pdf/report1/WV0615801/dsf4.pdf</t>
  </si>
  <si>
    <t>75</t>
  </si>
  <si>
    <t>姜黄素（四）</t>
  </si>
  <si>
    <t>UC0115803</t>
  </si>
  <si>
    <t>【香港出厂检测】姜黄素（批号 UC0115803）——莱特第四批.pdf：https://static.uda.cn/pdf/index.html?url=https://static.uda.cn/pdf/report1/UC0115803/ccbg1.pdf</t>
  </si>
  <si>
    <t>【SGS 第三方重金属+微生物检测】姜黄素（批号 UC0115803）——莱特第四批.pdf：https://static.uda.cn/pdf/index.html?url=https://static.uda.cn/pdf/report1/UC0115803/dsf1.pdf</t>
  </si>
  <si>
    <t>【SGS 英文报告】姜黄素（批号 UC0115803）.pdf：https://static.uda.cn/pdf/index.html?url=https://static.uda.cn/pdf/report1/UC0115803/SGS1.pdf</t>
  </si>
  <si>
    <t>76</t>
  </si>
  <si>
    <t>槲皮素（三）</t>
  </si>
  <si>
    <t>QC0115801</t>
  </si>
  <si>
    <t>【香港佳力高出厂检测】槲皮素（批号 QC0115801）——莱特第三批.pdf：https://static.uda.cn/pdf/index.html?url=https://static.uda.cn/pdf/report1/QC0115801/ccbg1.pdf</t>
  </si>
  <si>
    <t>【SGS重金属+微生物+锌铜含量检测】槲皮素（批号QC0115801）——莱特第三批.pdf：https://static.uda.cn/pdf/index.html?url=https://static.uda.cn/pdf/report1/QC0115801/dsf1.pdf</t>
  </si>
  <si>
    <t>77</t>
  </si>
  <si>
    <t>SL0113602</t>
  </si>
  <si>
    <t>WLOC2409-231</t>
  </si>
  <si>
    <t>【香港检测】锯棕榈番茄红素——莱特第二批.pdf：https://static.uda.cn/pdf/index.html?url=https://static.uda.cn/pdf/report1/SL0113602/ccbg1.pdf</t>
  </si>
  <si>
    <t>【第三方基础检测】锯棕榈番茄红素——莱特第二批.pdf：https://static.uda.cn/pdf/index.html?url=https://static.uda.cn/pdf/report1/SL0113602/dsf1.pdf</t>
  </si>
  <si>
    <t>78</t>
  </si>
  <si>
    <t>氨糖软骨素（三）</t>
  </si>
  <si>
    <t>GC0115802</t>
  </si>
  <si>
    <t>【香港佳力高检测】氨糖软骨素（批号GC0115802）——莱特第三批.pdf：https://static.uda.cn/pdf/index.html?url=https://static.uda.cn/pdf/report1/GC0115802/ccbg1.pdf</t>
  </si>
  <si>
    <t>【SGS基础检测】氨糖软骨素（批号GC0115802）——莱特第三批.pdf：https://static.uda.cn/pdf/index.html?url=https://static.uda.cn/pdf/report1/GC0115802/dsf1.pdf</t>
  </si>
  <si>
    <t>79</t>
  </si>
  <si>
    <t>DK钙（五）</t>
  </si>
  <si>
    <t>DKC0115803</t>
  </si>
  <si>
    <t>【香港出厂检测】维生素 D3K2 钙（批号 DKC0115803）——莱特第五批.pdf：https://static.uda.cn/pdf/index.html?url=https://static.uda.cn/pdf/report1/DKC0115803/ccbg1.pdf</t>
  </si>
  <si>
    <t>【SGS 第三方重金属+微生物检测】维生素 D3K2 钙（批号 DKC0115803）——莱特第五批.pdf：https://static.uda.cn/pdf/index.html?url=https://static.uda.cn/pdf/report1/DKC0115803/dsf1.pdf
【SGS 第三方含量检测】维生素 D3K2 钙（批号 DKC0115803）——莱特第五批.pdf：https://static.uda.cn/pdf/index.html?url=https://static.uda.cn/pdf/report1/DKC0115803/dsf2.pdf
【SGS 第三方 K2 含量检测】维生素 D3K2 钙（批号 DKC0115803）——莱特第五批.pdf：https://static.uda.cn/pdf/index.html?url=https://static.uda.cn/pdf/report1/DKC0115803/dsf3.pdf</t>
  </si>
  <si>
    <t>80</t>
  </si>
  <si>
    <t>RLA0615801</t>
  </si>
  <si>
    <t>【出厂检测】硫辛酸（批号：RLA0615801）——逢时第一批.pdf：https://static.uda.cn/pdf/index.html?url=https://static.uda.cn/pdf/report1/RLA0615801/ccbg1.pdf</t>
  </si>
  <si>
    <t>【第三方基础检测】硫辛酸（批号RLA0615801）——逢时第一批.pdf：https://static.uda.cn/pdf/index.html?url=https://static.uda.cn/pdf/report1/RLA0615801/dsf1.pdf
【第三方硫辛酸含量检测】硫辛酸（批号RLA0615801）——逢时第一批.pdf：https://static.uda.cn/pdf/index.html?url=https://static.uda.cn/pdf/report1/RLA0615801/dsf2.pdf</t>
  </si>
  <si>
    <t>81</t>
  </si>
  <si>
    <t>U501034</t>
  </si>
  <si>
    <t>BK202411135</t>
  </si>
  <si>
    <t>【新西兰检测】虾青素（批号：U501034）——康营第一批.pdf：https://static.uda.cn/pdf/index.html?url=https://static.uda.cn/pdf/report1/U501034/ccbg1.pdf</t>
  </si>
  <si>
    <t>【第三方基础检测】虾青素（批号：U501034）——康营第一批.pdf：https://static.uda.cn/pdf/index.html?url=https://static.uda.cn/pdf/report1/U501034/dsf1.pdf</t>
  </si>
  <si>
    <t>【SGS 英文报告（重金属+微生物）】虾青素（批号 U501034）.pdf：https://static.uda.cn/pdf/index.html?url=https://static.uda.cn/pdf/report1/U501034/SGS1.pdf</t>
  </si>
  <si>
    <t>82</t>
  </si>
  <si>
    <t>SM0115801</t>
  </si>
  <si>
    <t>【香港佳力高检测】亚精胺（批号SM0115801）——莱特第三批.pdf：https://static.uda.cn/pdf/index.html?url=https://static.uda.cn/pdf/report1/SM0115801/ccbg1.pdf</t>
  </si>
  <si>
    <t>【SGS基础+含量检测】亚精胺（批号SM0115801）——莱特第三批.pdf：https://static.uda.cn/pdf/index.html?url=https://static.uda.cn/pdf/report1/SM0115801/dsf1.pdf</t>
  </si>
  <si>
    <t>83</t>
  </si>
  <si>
    <t>TMG（三）</t>
  </si>
  <si>
    <t>TMG0115801</t>
  </si>
  <si>
    <t>【香港佳力高检测】TMG（批号TMG0115801）——莱特第三批.pdf：https://static.uda.cn/pdf/index.html?url=https://static.uda.cn/pdf/report1/TMG0115801/ccbg1.pdf</t>
  </si>
  <si>
    <t>【SGS基础检测】TMG（批号TMG0115801）——莱特第三批.pdf：https://static.uda.cn/pdf/index.html?url=https://static.uda.cn/pdf/report1/TMG0115801/dsf1.pdf</t>
  </si>
  <si>
    <t>【SGS 英文报告】TMG（批号 TMG0115801）.pdf：https://static.uda.cn/pdf/index.html?url=https://static.uda.cn/pdf/report1/TMG0115801/SGS1.pdf</t>
  </si>
  <si>
    <t>84</t>
  </si>
  <si>
    <t>PQQ+PS（二）</t>
  </si>
  <si>
    <t>PP0115801</t>
  </si>
  <si>
    <t>【香港佳力高检测】PQQ+PS（批号PP0115801）——莱特第二批.pdf：https://static.uda.cn/pdf/index.html?url=https://static.uda.cn/pdf/report1/PP0115801/ccbg1.pdf</t>
  </si>
  <si>
    <t>【SGS基础检测】PQQ+PS（批号PP0115801）——莱特第二批.pdf：https://static.uda.cn/pdf/index.html?url=https://static.uda.cn/pdf/report1/PP0115801/dsf1.pdf</t>
  </si>
  <si>
    <t>85</t>
  </si>
  <si>
    <t>麦角硫因谷胱甘肽（六）</t>
  </si>
  <si>
    <t>EG0115804</t>
  </si>
  <si>
    <t>【香港佳力高检测】麦角硫因谷胱甘肽（批号EG0115804）——莱特第六批.pdf：https://static.uda.cn/pdf/index.html?url=https://static.uda.cn/pdf/report1/EG0115804/ccbg1.pdf</t>
  </si>
  <si>
    <t>【SGS基础检测】麦角硫因谷胱甘肽（批号EG0115804）——莱特第六批.pdf：https://static.uda.cn/pdf/index.html?url=https://static.uda.cn/pdf/report1/EG0115804/dsf1.pdf
【SGS麦角硫因含量检测】麦角硫因谷胱甘肽（批号EG0115804）——莱特第六批.pdf：https://static.uda.cn/pdf/index.html?url=https://static.uda.cn/pdf/report1/EG0115804/dsf2.pdf</t>
  </si>
  <si>
    <t>【SGS 英文报告（重金属+微生物）】麦角硫因谷胱甘肽（批号 EG0115804）.pdf：https://static.uda.cn/pdf/index.html?url=https://static.uda.cn/pdf/report1/EG0115804/SGS1.pdf</t>
  </si>
  <si>
    <t>86</t>
  </si>
  <si>
    <t>NMN（六）</t>
  </si>
  <si>
    <t>NMNF0115805</t>
  </si>
  <si>
    <t>【香港佳力高出厂检测】NMN 大桶装（批号 NMNF015805）——莱特第六批.pdf：https://static.uda.cn/pdf/index.html?url=https://static.uda.cn/pdf/report1/NMNF0115805/ccbg1.pdf</t>
  </si>
  <si>
    <t>【SGS重金属+微生物检测】NMN大桶装（批号NMNF0115805）——莱特第六批.pdf：https://static.uda.cn/pdf/index.html?url=https://static.uda.cn/pdf/report1/NMNF0115805/dsf1.pdf
【SGS纯度检测】NMN大桶装（批号NMNF0115805）——莱特第六批.pdf：https://static.uda.cn/pdf/index.html?url=https://static.uda.cn/pdf/report1/NMNF0115805/dsf2.pdf</t>
  </si>
  <si>
    <t>【SGS 英文报告（重金属+微生物）】NMN（批号 NMNF0115805）.pdf：https://static.uda.cn/pdf/index.html?url=https://static.uda.cn/pdf/report1/NMNF0115805/SGS1.pdf
【SGS 英文报告（纯度）】NMN（批号 NMNF0115805）.pdf：https://static.uda.cn/pdf/index.html?url=https://static.uda.cn/pdf/report1/NMNF0115805/SGS2.pdf</t>
  </si>
  <si>
    <t>87</t>
  </si>
  <si>
    <t>活性女士复合维生素（三）</t>
  </si>
  <si>
    <t>WV0615802</t>
  </si>
  <si>
    <t>【美国出厂检测】活性女士复合维生素（批号 WV0615802）——逢时第三批.pdf：https://static.uda.cn/pdf/index.html?url=https://static.uda.cn/pdf/report1/WV0615802/ccbg1.pdf</t>
  </si>
  <si>
    <t>【SGS 维矿含量检测】女维（批号 WV0615802）——逢时第三批.pdf：https://static.uda.cn/pdf/index.html?url=https://static.uda.cn/pdf/report1/WV0615802/dsf1.pdf
【SGS 维生素B2、B6含量检测】女维（批号 WV0615802）——逢时第三批.pdf：https://static.uda.cn/pdf/index.html?url=https://static.uda.cn/pdf/report1/WV0615802/dsf2.pdf
【SGS 重金属+微生物检测】女维（批号 WV0615802）——逢时第三批.pdf：https://static.uda.cn/pdf/index.html?url=https://static.uda.cn/pdf/report1/WV0615802/dsf3.pdf</t>
  </si>
  <si>
    <t>【SGS 英文报告（含量）】女维（批号 WV0615802）.pdf：https://static.uda.cn/pdf/index.html?url=https://static.uda.cn/pdf/report1/WV0615802/SGS1.pdf
【SGS 英文报告（重金属+微生物）】女维（批号 WV0615802）.pdf：https://static.uda.cn/pdf/index.html?url=https://static.uda.cn/pdf/report1/WV0615802/SGS2.pdf
【SGS 重金属+微生物检测】女维（批号 WV0615802）——逢时第三批.pdf：https://static.uda.cn/pdf/index.html?url=https://static.uda.cn/pdf/report1/WV0615802/SGS3.pdf</t>
  </si>
  <si>
    <t>88</t>
  </si>
  <si>
    <t>活性男士复合维生素（三）</t>
  </si>
  <si>
    <t>MV0615802</t>
  </si>
  <si>
    <t>【美国出厂检测】活性男士复合维生素（批号 MV0615802）——逢时第三批.pdf：https://static.uda.cn/pdf/index.html?url=https://static.uda.cn/pdf/report1/MV0615802/ccbg1.pdf</t>
  </si>
  <si>
    <t>【SGS 第三方维矿含量检测】活性男士复合维生素（批号 MV0615802）——逢时第三批.pdf：https://static.uda.cn/pdf/index.html?url=https://static.uda.cn/pdf/report1/MV0615802/dsf1.pdf
【SGS 第三方维生素 B2、B6 含量检测】活性男士复合维生素（批号 MV0615802）——逢时第三批.pdf：https://static.uda.cn/pdf/index.html?url=https://static.uda.cn/pdf/report1/MV0615802/dsf2.pdf
【SGS 第三方重金属+微生物检测】活性男士复合维生素（批号 MV0615802）——逢时第三批.pdf：https://static.uda.cn/pdf/index.html?url=https://static.uda.cn/pdf/report1/MV0615802/dsf3.pdf</t>
  </si>
  <si>
    <t>【SGS 英文报告（含量）】男维（批号 MV0615802）——逢时第三批.pdf：https://static.uda.cn/pdf/index.html?url=https://static.uda.cn/pdf/report1/MV0615802/SGS1.pdf
【SGS 英文报告（重金属+微生物）】男维（批号 MV0615802）——逢时第三批.pdf：https://static.uda.cn/pdf/index.html?url=https://static.uda.cn/pdf/report1/MV0615802/SGS2.pdf
【SGS 英文报告（B2、B6 含量）】男维（批号 MV0615802）——逢时第三批.pdf：https://static.uda.cn/pdf/index.html?url=https://static.uda.cn/pdf/report1/MV0615802/SGS3.pdf</t>
  </si>
  <si>
    <t>89</t>
  </si>
  <si>
    <t>大豆异黄酮（三）</t>
  </si>
  <si>
    <t>SI0115802</t>
  </si>
  <si>
    <t>【香港佳力高出厂检测】大豆异黄酮（批号 SI0115802）——莱特第三批.pdf：https://static.uda.cn/pdf/index.html?url=https://static.uda.cn/pdf/report1/SI0115802/ccbg1.pdf</t>
  </si>
  <si>
    <t>【SGS 重金属+微生物检测】大豆异黄酮（批号 SI0115802）——莱特第三批.pdf：https://static.uda.cn/pdf/index.html?url=https://static.uda.cn/pdf/report1/SI0115802/dsf1.pdf</t>
  </si>
  <si>
    <t>【SGS 英文报告（重金属+微生物）】大豆异黄酮（批号 SI0115802）.pdf：https://static.uda.cn/pdf/index.html?url=https://static.uda.cn/pdf/report1/SI0115802/SGS1.pdf</t>
  </si>
  <si>
    <t>90</t>
  </si>
  <si>
    <t>牡蛎精（二）</t>
  </si>
  <si>
    <t>OPO0115801</t>
  </si>
  <si>
    <t>【香港出厂检测】牡蛎精（批号 OPO0115801）——莱特第二批.pdf：https://static.uda.cn/pdf/index.html?url=https://static.uda.cn/pdf/report1/OPO0115801/ccbg1.pdf</t>
  </si>
  <si>
    <t>【SGS 第三方重金属、微生物、牛磺酸含量检测】牡蛎精（批号 OPO0115801）——莱特第二批.pdf：https://static.uda.cn/pdf/index.html?url=https://static.uda.cn/pdf/report1/OPO0115801/dsf1.pdf
【SGS 第三方锌含量检测】牡蛎精（批号 OPO0115801）——莱特第二批.pdf：https://static.uda.cn/pdf/index.html?url=https://static.uda.cn/pdf/report1/OPO0115801/dsf2.pdf</t>
  </si>
  <si>
    <t>【SGS 英文报告（微生物+重金属+牛磺酸含量）】牡蛎精（批号 OPO0115801）.pdf：https://static.uda.cn/pdf/index.html?url=https://static.uda.cn/pdf/report1/OPO0115801/SGS1.pdf
【SGS 英文报告（锌含量）】牡蛎精（批号 OPO0115801）.pdf：https://static.uda.cn/pdf/index.html?url=https://static.uda.cn/pdf/report1/OPO0115801/SGS2.pdf</t>
  </si>
  <si>
    <t>91</t>
  </si>
  <si>
    <t>叶黄素（五）</t>
  </si>
  <si>
    <t>LE0615804</t>
  </si>
  <si>
    <t>【美国出厂检测】叶黄素（批号 LE0615804）——逢时第五批.pdf：https://static.uda.cn/pdf/index.html?url=https://static.uda.cn/pdf/report1/LE0615804/ccbg1.pdf</t>
  </si>
  <si>
    <t>【SGS 第三方重金属+微生物+叶黄素含量检测】叶黄素（批号 LE0615804）——逢时第五批.pdf：https://static.uda.cn/pdf/index.html?url=https://static.uda.cn/pdf/report1/LE0615804/dsf1.pdf
【SGS 第三方玉米黄质含量检测】叶黄素（批号 LE0615804）——逢时第五批.pdf：https://static.uda.cn/pdf/index.html?url=https://static.uda.cn/pdf/report1/LE0615804/dsf2.pdf</t>
  </si>
  <si>
    <t>【SGS 英文报告（重金属+微生物+叶黄毒含量）】叶黄素（批号 LE0615804）.pdf：https://static.uda.cn/pdf/index.html?url=https://static.uda.cn/pdf/report1/LE0615804/SGS1.pdf</t>
  </si>
  <si>
    <t>92</t>
  </si>
  <si>
    <t>南非醉茄（莱特一批）</t>
  </si>
  <si>
    <t>AG0115801</t>
  </si>
  <si>
    <t>【香港出厂检测】南非醉茄（批号 AG0115801）——莱特第一批.pdf：https://static.uda.cn/pdf/index.html?url=https://static.uda.cn/pdf/report1/AG0115801/ccbg1.pdf</t>
  </si>
  <si>
    <t>【SGS 第三方重金属+微生物检测报告】南非醉茄（批号 AG0115801）——莱特第一批.pdf：https://static.uda.cn/pdf/index.html?url=https://static.uda.cn/pdf/report1/AG0115801/dsf1.pdf</t>
  </si>
  <si>
    <t>【SGS 英文报告（重金属+微生物）】南非醉茄（批号 AG0115801）.pdf：https://static.uda.cn/pdf/index.html?url=https://static.uda.cn/pdf/report1/AG0115801/SGS1.pdf</t>
  </si>
  <si>
    <t>93</t>
  </si>
  <si>
    <t>AKK（六）</t>
  </si>
  <si>
    <t>AK0115804</t>
  </si>
  <si>
    <t>【香港出厂检测】AKK（批号 AK0115804）——莱特第六批.pdf：https://static.uda.cn/pdf/index.html?url=https://static.uda.cn/pdf/report1/AK0115804/ccbg1.pdf</t>
  </si>
  <si>
    <t>【SGS 第三方检测】AKK（批号 AK0115804）——莱特第六批.pdf：https://static.uda.cn/pdf/index.html?url=https://static.uda.cn/pdf/report1/AK0115804/dsf1.pdf</t>
  </si>
  <si>
    <t>【SGS 英文报告（重金属+微生物）】AKK（批号 AK0115804）.pdf：https://static.uda.cn/pdf/index.html?url=https://static.uda.cn/pdf/report1/AK0115804/SGS1.pdf</t>
  </si>
  <si>
    <t>94</t>
  </si>
  <si>
    <t>苏糖酸镁大桶装（四）</t>
  </si>
  <si>
    <t>LMF0115804</t>
  </si>
  <si>
    <t>【香港出厂检测】苏糖酸镁大桶装（批号 LMF0115804）——莱特第四批.pdf：https://static.uda.cn/pdf/index.html?url=https://static.uda.cn/pdf/report1/LMF0115804/ccbg1.pdf</t>
  </si>
  <si>
    <t>【SGS 第三方检测】苏糖酸镁大桶装（批号 LMF0115804）——莱特第四批.pdf：https://static.uda.cn/pdf/index.html?url=https://static.uda.cn/pdf/report1/LMF0115804/dsf1.pdf</t>
  </si>
  <si>
    <t>【SGS 英文报告】苏糖酸镁大桶装（批号 LMF0115804）.pdf：https://static.uda.cn/pdf/index.html?url=https://static.uda.cn/pdf/report1/LMF0115804/SGS1.pdf</t>
  </si>
  <si>
    <t>95</t>
  </si>
  <si>
    <t>辅酶Q10（五）</t>
  </si>
  <si>
    <t>QH0115803</t>
  </si>
  <si>
    <t>【香港出厂检测】辅酶 Q10（批号 QH0115803）——莱特第五批.pdf：https://static.uda.cn/pdf/index.html?url=https://static.uda.cn/pdf/report1/QH0115803/ccbg1.pdf</t>
  </si>
  <si>
    <t>【SGS 第三方检测】辅酶 Q10（批号 QH0115803）——莱特第五批.pdf：https://static.uda.cn/pdf/index.html?url=https://static.uda.cn/pdf/report1/QH0115803/dsf1.pdf
【SGS 第三方检测（含量）】辅酶 Q10（批号 QH0115803）——莱特第五批.pdf：https://static.uda.cn/pdf/index.html?url=https://static.uda.cn/pdf/report1/QH0115803/dsf2.pdf</t>
  </si>
  <si>
    <t>【SGS 英文报告（重金属+微生物）】辅酶Q10（批号 QH0115803）.pdf：https://static.uda.cn/pdf/index.html?url=https://static.uda.cn/pdf/report1/QH0115803/SGS1.pdf</t>
  </si>
  <si>
    <t>96</t>
  </si>
  <si>
    <t>槲皮素（四）</t>
  </si>
  <si>
    <t>QC0115802
QC0115803</t>
  </si>
  <si>
    <t>【香港出厂检测】槲皮素（批号 QC0115802 &amp; QC0115803）——莱特.pdf：https://static.uda.cn/pdf/index.html?url=https://static.uda.cn/pdf/report1/QC0115802
QC0115803/ccbg1.pdf</t>
  </si>
  <si>
    <t>【第三方重金属+微生物+锌铜含量检测】槲皮素（批号 QC0115802 和 QC0115803）——莱特第四批.pdf：https://static.uda.cn/pdf/index.html?url=https://static.uda.cn/pdf/report1/QC0115802
QC0115803/dsf1.pdf</t>
  </si>
  <si>
    <t>【SGS 英文报告（重金属+微生物+锌铜含量）】槲皮素（批号 QC0115802 和 QC0115803）.pdf：https://static.uda.cn/pdf/index.html?url=https://static.uda.cn/pdf/report1/QC0115802
QC0115803/SGS1.pdf</t>
  </si>
  <si>
    <t>97</t>
  </si>
  <si>
    <t>姜黄素（五）</t>
  </si>
  <si>
    <t>UC0115804</t>
  </si>
  <si>
    <t>【香港出厂检测】姜黄素（批号 UC0115804）——莱特第五批.pdf：https://static.uda.cn/pdf/index.html?url=https://static.uda.cn/pdf/report1/UC0115804/ccbg1.pdf</t>
  </si>
  <si>
    <t>【SGS 第三方重金属+微生物检测】姜黄素（批号 UC0115804）——莱特第五批 pdf.pdf：https://static.uda.cn/pdf/index.html?url=https://static.uda.cn/pdf/report1/UC0115804/dsf1.pdf
【SGS 第三方姜黄素含量检测】姜黄素（批号 UC0115804）——莱特第五批.pdf：https://static.uda.cn/pdf/index.html?url=https://static.uda.cn/pdf/report1/UC0115804/dsf2.pdf</t>
  </si>
  <si>
    <t>【SGS 英文报告（重金属+微生物）】姜黄素（批号 UC0115804）——莱特第五批.pdf：https://static.uda.cn/pdf/index.html?url=https://static.uda.cn/pdf/report1/UC0115804/SGS1.pdf</t>
  </si>
  <si>
    <t>98</t>
  </si>
  <si>
    <t>鱼油（九）</t>
  </si>
  <si>
    <t>FO0115805</t>
  </si>
  <si>
    <t>【香港出厂检测】鱼油（批号 FO0115805）——莱特第九批.pdf：https://static.uda.cn/pdf/index.html?url=https://static.uda.cn/pdf/report1/FO0115805/ccbg1.pdf</t>
  </si>
  <si>
    <t>【SGS 第三方重金属+微生物+稳定性检测】鱼油（批号 FO0115805）——莱特第九批.pdf：https://static.uda.cn/pdf/index.html?url=https://static.uda.cn/pdf/report1/FO0115805/dsf1.pdf
【SGS 第三方含量检测（面积法）】鱼油（批号 FO0115805）——莱特第九批.pdf：https://static.uda.cn/pdf/index.html?url=https://static.uda.cn/pdf/report1/FO0115805/dsf2.pdf
【SGS 第三方辐射检测】鱼油（批号 FO0115805）——莱特第九批.pdf：https://static.uda.cn/pdf/index.html?url=https://static.uda.cn/pdf/report1/FO0115805/dsf3.pdf</t>
  </si>
  <si>
    <t>鱼油 IFOS+RTCP（批号 FO0115805）.pdf：https://static.uda.cn/pdf/index.html?url=https://static.uda.cn/pdf/report1/FO0115805/IFOS1.pdf</t>
  </si>
  <si>
    <t>【SGS 英文报告（辐射）】鱼油（批号 FO0115805）.pdf：https://static.uda.cn/pdf/index.html?url=https://static.uda.cn/pdf/report1/FO0115805/SGS1.pdf
【SGS 英文报告（脂肪酸含量）】鱼油（批号 FO0115805）.pdf：https://static.uda.cn/pdf/index.html?url=https://static.uda.cn/pdf/report1/FO0115805/SGS2.pdf
【SGS 英文报告（重金属+微生物+稳定性）】鱼油（批号 FO0115805）.pdf：https://static.uda.cn/pdf/index.html?url=https://static.uda.cn/pdf/report1/FO0115805/SGS3.pdf</t>
  </si>
  <si>
    <t>99</t>
  </si>
  <si>
    <t>护肝胶囊（六）</t>
  </si>
  <si>
    <t>LDT0115802</t>
  </si>
  <si>
    <t>【香港出厂检测】护肝胶囊（批号 LDT0115802）——莱特第六批.pdf：https://static.uda.cn/pdf/index.html?url=https://static.uda.cn/pdf/report1/LDT0115802/ccbg1.pdf</t>
  </si>
  <si>
    <t>【SGS 第三方检测】护肝胶囊（批号 LDT0115802）——莱特第六批.pdf：https://static.uda.cn/pdf/index.html?url=https://static.uda.cn/pdf/report1/LDT0115802/dsf1.pdf
【SGS 含量检测】护肝胶囊（批号 LDT0115802）——莱特第六批.pdf：https://static.uda.cn/pdf/index.html?url=https://static.uda.cn/pdf/report1/LDT0115802/dsf2.pdf</t>
  </si>
  <si>
    <t>【SGS 英文报告（重金属+微生物）】护肝胶囊（批号 LDT0115802）.pdf：https://static.uda.cn/pdf/index.html?url=https://static.uda.cn/pdf/report1/LDT0115802/SGS1.pdf</t>
  </si>
  <si>
    <t>100</t>
  </si>
  <si>
    <t>亚精胺（四）</t>
  </si>
  <si>
    <t>SM0115802</t>
  </si>
  <si>
    <t>【香港佳力高出厂检测】亚精胺（批号 SM0115802）——莱特第四批.pdf：https://static.uda.cn/pdf/index.html?url=https://static.uda.cn/pdf/report1/SM0115802/ccbg1.pdf</t>
  </si>
  <si>
    <t>【SGS 第三方检测（重金属+微生物+亚精胺含量）】——莱特第四批（批号 SM0115802）.pdf：https://static.uda.cn/pdf/index.html?url=https://static.uda.cn/pdf/report1/SM0115802/dsf1.pdf</t>
  </si>
  <si>
    <t>【SGS 英文报告（重金属+微生物+亚精胺含量）】亚精胺（批号 SM0115802）.pdf：https://static.uda.cn/pdf/index.html?url=https://static.uda.cn/pdf/report1/SM0115802/SGS1.pdf</t>
  </si>
  <si>
    <t>101</t>
  </si>
  <si>
    <t>锯棕榈番茄红素 Pro 版软胶囊（三）</t>
  </si>
  <si>
    <t>OSL0115801</t>
  </si>
  <si>
    <t>【香港出厂检测】锯棕榈番茄红素软胶囊（批号 OSL0115801）——莱特第三批.pdf：https://static.uda.cn/pdf/index.html?url=https://static.uda.cn/pdf/report1/OSL0115801/ccbg1.pdf</t>
  </si>
  <si>
    <t>【SGS 第三方检测（重金属+微生物）】锯棕榈番茄红素（批号 OSL0115801）——莱特第三批.pdf：https://static.uda.cn/pdf/index.html?url=https://static.uda.cn/pdf/report1/OSL0115801/dsf1.pdf
【SGS 第三方检测（含量）】锯棕榈番茄红素软胶囊（批号 OSL0115801）——莱特第三批.pdf：https://static.uda.cn/pdf/index.html?url=https://static.uda.cn/pdf/report1/OSL0115801/dsf2.pdf</t>
  </si>
  <si>
    <t>【SGS 英文报告（重金属+微生物）】锯棕榈番茄红素软胶囊（OSL0115801）.pdf：https://static.uda.cn/pdf/index.html?url=https://static.uda.cn/pdf/report1/OSL0115801/SGS1.pdf
【SGS 英文报告（含量）】锯棕榈番茄红素软胶囊（批号 OSL0115801检测）.pdf：https://static.uda.cn/pdf/index.html?url=https://static.uda.cn/pdf/report1/OSL0115801/SGS2.pdf</t>
  </si>
  <si>
    <t>102</t>
  </si>
  <si>
    <t>纳豆激酶（一）</t>
  </si>
  <si>
    <t>NK0115801</t>
  </si>
  <si>
    <t>【香港佳力高出厂检测】纳豆激酶（批号 NK0115801）——莱特第一批.pdf：https://static.uda.cn/pdf/index.html?url=https://static.uda.cn/pdf/report1/NK0115801/ccbg1.pdf</t>
  </si>
  <si>
    <t>【SGS 第三方检测报告（重金属+微生物）】纳豆激酶（批号 NK0115801）——莱特第一批.pdf：https://static.uda.cn/pdf/index.html?url=https://static.uda.cn/pdf/report1/NK0115801/dsf1.pdf
【SGS 第三方检测（菌种鉴定）】纳豆激酶（批号 NK0115801）——莱特第一批.pdf：https://static.uda.cn/pdf/index.html?url=https://static.uda.cn/pdf/report1/NK0115801/dsf2.pdf</t>
  </si>
  <si>
    <t>103</t>
  </si>
  <si>
    <t>AKG（240粒）（一）</t>
  </si>
  <si>
    <t>AKG0115801</t>
  </si>
  <si>
    <t>【香港佳力高出厂检测】AKG（批号 AKG0115801）——莱特第一批.pdf：https://static.uda.cn/pdf/index.html?url=https://static.uda.cn/pdf/report1/AKG0115801/ccbg1.pdf</t>
  </si>
  <si>
    <t>【SGS 第三方检测】AKG（批号 AKG0115801）——莱特第一批.pdf：https://static.uda.cn/pdf/index.html?url=https://static.uda.cn/pdf/report1/AKG0115801/dsf1.pdf</t>
  </si>
  <si>
    <t>【SGS 英文报告】AKG（批号 AKG0115801）莱特第一批.pdf：https://static.uda.cn/pdf/index.html?url=https://static.uda.cn/pdf/report1/AKG0115801/SGS1.pdf</t>
  </si>
  <si>
    <t>104</t>
  </si>
  <si>
    <t>AKK（七）</t>
  </si>
  <si>
    <t>AK0115805</t>
  </si>
  <si>
    <t>【香港出厂检测】AKK（批号 AK0115805）——莱特第七批.pdf：https://static.uda.cn/pdf/index.html?url=https://static.uda.cn/pdf/report1/AK0115805/ccbg1.pdf</t>
  </si>
  <si>
    <t>【SGS 第三方检测】AKK（批号 AK0115805）——莱特第七批.pdf：https://static.uda.cn/pdf/index.html?url=https://static.uda.cn/pdf/report1/AK0115805/dsf1.pdf</t>
  </si>
  <si>
    <t>【SGS 英文报告】AKK（批号 AK0115805）.pdf：https://static.uda.cn/pdf/index.html?url=https://static.uda.cn/pdf/report1/AK0115805/SGS1.pdf</t>
  </si>
  <si>
    <t>105</t>
  </si>
  <si>
    <t>氨糖软骨素（四）</t>
  </si>
  <si>
    <t>GC0115803</t>
  </si>
  <si>
    <t>【香港出厂检测】氨糖软骨素（批号 GC0115803）——莱特第四批.pdf：https://static.uda.cn/pdf/index.html?url=https://static.uda.cn/pdf/report1/GC0115803/ccbg1.pdf</t>
  </si>
  <si>
    <t>【SGS 第三方检测】氨糖软骨素（批号 GC0115803）——莱特第四批.pdf：https://static.uda.cn/pdf/index.html?url=https://static.uda.cn/pdf/report1/GC0115803/dsf1.pdf</t>
  </si>
  <si>
    <t>【SGS 英文报告】氨糖软骨素（批号 GC0115803）.pdf：https://static.uda.cn/pdf/index.html?url=https://static.uda.cn/pdf/report1/GC0115803/SGS1.pdf</t>
  </si>
  <si>
    <t>106</t>
  </si>
  <si>
    <t>还原型辅酶 Q10（六）</t>
  </si>
  <si>
    <t>QH0115804</t>
  </si>
  <si>
    <t>【香港出厂检测】辅酶Q10（批号 QH0115804）——莱特第六批.pdf：https://static.uda.cn/pdf/index.html?url=https://static.uda.cn/pdf/report1/QH0115804/ccbg1.pdf</t>
  </si>
  <si>
    <t>【SGS 第三方检测】辅酶Q10（批号 QH0115804）——莱特第六批.pdf：https://static.uda.cn/pdf/index.html?url=https://static.uda.cn/pdf/report1/QH0115804/dsf1.pdf
【SGS 第三方检测（含量）】辅酶 Q10（批号 QH0115804）——莱特第六批.pdf：https://static.uda.cn/pdf/index.html?url=https://static.uda.cn/pdf/report1/QH0115804/dsf2.pdf</t>
  </si>
  <si>
    <t>【SGS 英文报告】辅酶Q10（批号 QH0115804）.pdf：https://static.uda.cn/pdf/index.html?url=https://static.uda.cn/pdf/report1/QH0115804/SGS1.pdf</t>
  </si>
  <si>
    <t>107</t>
  </si>
  <si>
    <t>PQQ+PS（三）</t>
  </si>
  <si>
    <t>PP0115802</t>
  </si>
  <si>
    <t>【香港佳力高出厂检测】PQQ+PS（批号 PP0115802）——莱特第三批.pdf：https://static.uda.cn/pdf/index.html?url=https://static.uda.cn/pdf/report1/PP0115802/ccbg1.pdf</t>
  </si>
  <si>
    <t>【SGS 第三方检测】PQQ+PS（批号 PP0115802）——莱特第三批.pdf：https://static.uda.cn/pdf/index.html?url=https://static.uda.cn/pdf/report1/PP0115802/dsf1.pdf</t>
  </si>
  <si>
    <t>【SGS 英文报告】PQQ+PS（批号 PP0115802）——莱特第三批.pdf：https://static.uda.cn/pdf/index.html?url=https://static.uda.cn/pdf/report1/PP0115802/SGS1.pdf</t>
  </si>
  <si>
    <t>108</t>
  </si>
  <si>
    <t>TMG（四）</t>
  </si>
  <si>
    <t>TMG0115802</t>
  </si>
  <si>
    <t>【香港佳力高出厂检测】TMG（批号 TMG0115802）——莱特第四批.pdf：https://static.uda.cn/pdf/index.html?url=https://static.uda.cn/pdf/report1/TMG0115802/ccbg1.pdf</t>
  </si>
  <si>
    <t>【SGS 第三方检测】TMG（批号 TMG0115802）——莱特第四批.pdf：https://static.uda.cn/pdf/index.html?url=https://static.uda.cn/pdf/report1/TMG0115802/dsf1.pdf</t>
  </si>
  <si>
    <t>【SGS 英文报告】TMG（批号 TMG0115802）——莱特第四批.pdf：https://static.uda.cn/pdf/index.html?url=https://static.uda.cn/pdf/report1/TMG0115802/SGS1.pdf</t>
  </si>
  <si>
    <t>109</t>
  </si>
  <si>
    <t>维生素 D3K2 钙（六）</t>
  </si>
  <si>
    <t>DKC0115804</t>
  </si>
  <si>
    <t>【香港佳力高出厂检测】维生素 D3K2 钙（批号 DKC0115804）——莱特第六批.pdf：https://static.uda.cn/pdf/index.html?url=https://static.uda.cn/pdf/report1/DKC0115804/ccbg1.pdf</t>
  </si>
  <si>
    <t>【SGS 第三方检测】维生素 D3K2 钙（批号 DKC0115804）——莱特第六批.pdf：https://static.uda.cn/pdf/index.html?url=https://static.uda.cn/pdf/report1/DKC0115804/dsf1.pdf
【SGS 第三方检测（K2 含量）】维生素 D3K2 钙（批号 DKC0115804）——莱特第六批.pdf：https://static.uda.cn/pdf/index.html?url=https://static.uda.cn/pdf/report1/DKC0115804/dsf2.pdf</t>
  </si>
  <si>
    <t>【SGS 英文报告（K2 含量）】维生素 D3K2 钙（批号 DKC0115804）.pdf：https://static.uda.cn/pdf/index.html?url=https://static.uda.cn/pdf/report1/DKC0115804/SGS1.pdf
【SGS 英文报告】维生素 D3K2 钙（批号 DKC0115804）——莱特第六批.pdf：https://static.uda.cn/pdf/index.html?url=https://static.uda.cn/pdf/report1/DKC0115804/SGS2.pdf</t>
  </si>
  <si>
    <t>110</t>
  </si>
  <si>
    <t>大豆异黄酮（四）</t>
  </si>
  <si>
    <t>SI0115803</t>
  </si>
  <si>
    <t>【香港佳力高出厂检测】大豆异黄酮（批号 SI0115803）——莱特第四批.pdf：https://static.uda.cn/pdf/index.html?url=https://static.uda.cn/pdf/report1/SI0115803/ccbg1.pdf</t>
  </si>
  <si>
    <t>【SGS 第三方检测】大豆异黄酮（批号 SI0115803）——莱特第四批.pdf：https://static.uda.cn/pdf/index.html?url=https://static.uda.cn/pdf/report1/SI0115803/dsf1.pdf</t>
  </si>
  <si>
    <t>【SGS 英文报告】大豆异黄酮（批号 SI0115803）.pdf：https://static.uda.cn/pdf/index.html?url=https://static.uda.cn/pdf/report1/SI0115803/SGS1.pdf</t>
  </si>
  <si>
    <t>111</t>
  </si>
  <si>
    <t>BIOHEK® DHA 软胶囊</t>
  </si>
  <si>
    <t>4545925007</t>
  </si>
  <si>
    <t>【百合出厂检测（SGS 检测）】BIOHEKDHA软胶囊检测报告.pdf：https://static.uda.cn/pdf/index.html?url=https://static.uda.cn/pdf/report1/4545925007/ccbg1.pdf</t>
  </si>
  <si>
    <t>【SGS 第三方检测】百合 DHA 藻油.pdf：https://static.uda.cn/pdf/index.html?url=https://static.uda.cn/pdf/report1/4545925007/dsf1.pdf</t>
  </si>
  <si>
    <t>112</t>
  </si>
  <si>
    <t>专利 L-苏糖酸镁大桶装（五）</t>
  </si>
  <si>
    <t>LMF0115805</t>
  </si>
  <si>
    <t>【香港出厂检测】苏糖酸镁大桶装（批号 LMF0115805）——莱特第五批.pdf：https://static.uda.cn/pdf/index.html?url=https://static.uda.cn/pdf/report1/LMF0115805/ccbg1.pdf</t>
  </si>
  <si>
    <t>【SGS 第三方检测】苏糖酸镁大桶装（批号 LMF0115805）——莱特第五批.pdf：https://static.uda.cn/pdf/index.html?url=https://static.uda.cn/pdf/report1/LMF0115805/dsf1.pdf</t>
  </si>
  <si>
    <t>【SGS 英文报告】苏糖酸镁（批号 LMF0115805）——莱特第五批.pdf：https://static.uda.cn/pdf/index.html?url=https://static.uda.cn/pdf/report1/LMF0115805/SGS1.pdf</t>
  </si>
  <si>
    <t>113</t>
  </si>
  <si>
    <t>DHA 藻油</t>
  </si>
  <si>
    <t>DHA0915801</t>
  </si>
  <si>
    <t>【出厂检测】DHA藻油（批号 DHA0915801）——reaps第一批pdf.pdf：https://static.uda.cn/pdf/index.html?url=https://static.uda.cn/pdf/report1/DHA0915801/ccbg1.pdf</t>
  </si>
  <si>
    <t>【SGS 第三方检测（二噁英多氯联苯）】DHA 藻油（批号 DHA0915801）——reaps第一批.pdf：https://static.uda.cn/pdf/index.html?url=https://static.uda.cn/pdf/report1/DHA0915801/dsf1.pdf
【SGS 第三方检测（辐射）】DHA 藻油（批号 DHA0915801）——reaps第一批.pdf：https://static.uda.cn/pdf/index.html?url=https://static.uda.cn/pdf/report1/DHA0915801/dsf2.pdf
【SGS 第三方检测报告（阪崎）】DHA 藻油（批号 DHA0915801）——reaps第一批.pdf：https://static.uda.cn/pdf/index.html?url=https://static.uda.cn/pdf/report1/DHA0915801/dsf3.pdf
【SGS 第三方检测（邻苯）】DHA藻油（批号 DHA0915801）——reaps第一批.pdf：https://static.uda.cn/pdf/index.html?url=https://static.uda.cn/pdf/report1/DHA0915801/dsf4.pdf
【SGS 第三方检测（农残）】DHA藻油（批号 DHA0915801）——reaps第一批.pdf：https://static.uda.cn/pdf/index.html?url=https://static.uda.cn/pdf/report1/DHA0915801/dsf5.pdf
【SGS 第三方检测（DHA 含量）】DHA 藻油（批号 DHA0915801）——reaps第一批.pdf：https://static.uda.cn/pdf/index.html?url=https://static.uda.cn/pdf/report1/DHA0915801/dsf6.pdf
【SGS 第三方检测（稳定性）】DHA 藻油（批号 DHA0915801）——reaps第一批.pdf：https://static.uda.cn/pdf/index.html?url=https://static.uda.cn/pdf/report1/DHA0915801/dsf7.pdf
【SGS 第三方检测（重金属、微生物、真菌毒素）】DHA藻油（批号 DHA0915801）——reaps第一批.pdf：https://static.uda.cn/pdf/index.html?url=https://static.uda.cn/pdf/report1/DHA0915801/dsf8.pdf</t>
  </si>
  <si>
    <t>【SGS 英文报告（阪崎）】DHA藻油（批号 DHA0915801）.pdf：https://static.uda.cn/pdf/index.html?url=https://static.uda.cn/pdf/report1/DHA0915801/SGS1.pdf
【SGS 英文报告（二噁英多氯联苯）】DHA 藻油（批号 DHA0915801）.pdf：https://static.uda.cn/pdf/index.html?url=https://static.uda.cn/pdf/report1/DHA0915801/SGS2.pdf
【SGS 英文报告（辐射）】DHA 藻油（批号 DHA0915801）.pdf：https://static.uda.cn/pdf/index.html?url=https://static.uda.cn/pdf/report1/DHA0915801/SGS3.pdf
【SGS 英文报告（邻苯）】DHA藻油（批号 DHA0915801）.pdf：https://static.uda.cn/pdf/index.html?url=https://static.uda.cn/pdf/report1/DHA0915801/SGS4.pdf
【SGS 英文报告（农残）】DHA藻油（批号 DHA0915801）——reaps第一批.pdf：https://static.uda.cn/pdf/index.html?url=https://static.uda.cn/pdf/report1/DHA0915801/SGS5.pdf
【SGS 英文报告（稳定性）】DHA 藻油（批号 DHA0915801）.pdf：https://static.uda.cn/pdf/index.html?url=https://static.uda.cn/pdf/report1/DHA0915801/SGS6.pdf
【SGS 英文报告（重金属、微生物、真菌毒素）】DHA藻油（批号 DHA0915801）.pdf：https://static.uda.cn/pdf/index.html?url=https://static.uda.cn/pdf/report1/DHA0915801/SGS7.pdf
【SGS 英文报告（DHA 含量）】DHA 藻油（批号 DHA0915801）.pdf：https://static.uda.cn/pdf/index.html?url=https://static.uda.cn/pdf/report1/DHA0915801/SGS8.pdf</t>
  </si>
  <si>
    <t>114</t>
  </si>
  <si>
    <t>JOG2501</t>
  </si>
  <si>
    <t>【印度出厂检测】褪黑素（批号 JOG2501）——印度第一批.pdf：https://static.uda.cn/pdf/index.html?url=https://static.uda.cn/pdf/report1/JOG2501/ccbg1.pdf
【印度出厂检测（环氧乙烷）】褪黑素（批号 JOG2501）——印度第一批.pdf：https://static.uda.cn/pdf/index.html?url=https://static.uda.cn/pdf/report1/JOG2501/ccbg2.pdf</t>
  </si>
  <si>
    <t>【SGS 第三方检测】褪黑素（批号 JOG2501）——印度第一批.pdf：https://static.uda.cn/pdf/index.html?url=https://static.uda.cn/pdf/report1/JOG2501/dsf1.pdf</t>
  </si>
  <si>
    <t>【SGS 英文报告】褪黑素（批号 JOG2501）——印度第一批.pdf：https://static.uda.cn/pdf/index.html?url=https://static.uda.cn/pdf/report1/JOG2501/SGS1.pdf</t>
  </si>
  <si>
    <t>115</t>
  </si>
  <si>
    <t>叶黄素（莱一）</t>
  </si>
  <si>
    <t>LES0115801</t>
  </si>
  <si>
    <t>【香港出厂检测】叶黄素（批号 LES0115801）——莱特第一批.pdf：https://static.uda.cn/pdf/index.html?url=https://static.uda.cn/pdf/report1/LES0115801/ccbg1.pdf</t>
  </si>
  <si>
    <t>【SGS 第三方检测】叶黄素（批号 LES0115801）——莱特第一批.pdf：https://static.uda.cn/pdf/index.html?url=https://static.uda.cn/pdf/report1/LES0115801/dsf1.pdf
【SGS 第三方检测（玉米黄质含量）】叶黄素（批号 LES0115801）——莱特第一批.pdf：https://static.uda.cn/pdf/index.html?url=https://static.uda.cn/pdf/report1/LES0115801/dsf2.pdf</t>
  </si>
  <si>
    <t>【SGS 英文报告】叶黄素（批号 LES0115801）——莱特第一批.pdf：https://static.uda.cn/pdf/index.html?url=https://static.uda.cn/pdf/report1/LES0115801/SGS1.pdf</t>
  </si>
  <si>
    <t>116</t>
  </si>
  <si>
    <t>牡蛎精（三）</t>
  </si>
  <si>
    <t>OPO0115802</t>
  </si>
  <si>
    <t>【香港佳力高出厂检测】牡蛎精（批号 OPO0115802）——莱特第三批.pdf：https://static.uda.cn/pdf/index.html?url=https://static.uda.cn/pdf/report1/OPO0115802/ccbg1.pdf</t>
  </si>
  <si>
    <t>【SGS 第三方检测】牡蛎精（批号 OPO0115802）——莱特第三批.pdf：https://static.uda.cn/pdf/index.html?url=https://static.uda.cn/pdf/report1/OPO0115802/dsf1.pdf</t>
  </si>
  <si>
    <t>【SGS 英文报告】牡蛎精（批号 OPO0115802）——莱特第三批.pdf：https://static.uda.cn/pdf/index.html?url=https://static.uda.cn/pdf/report1/OPO0115802/SGS1.pdf</t>
  </si>
  <si>
    <t>117</t>
  </si>
  <si>
    <t>护肝胶囊（七）</t>
  </si>
  <si>
    <t>LDT0115803</t>
  </si>
  <si>
    <t>【香港出厂检测】护肝胶囊（批号 LDT0115803）——莱特第七批.pdf：https://static.uda.cn/pdf/index.html?url=https://static.uda.cn/pdf/report1/LDT0115803/ccbg1.pdf</t>
  </si>
  <si>
    <t>【SGS 第三方检测】护肝胶囊（批号 LDT0115803）——莱特第七批.pdf：https://static.uda.cn/pdf/index.html?url=https://static.uda.cn/pdf/report1/LDT0115803/dsf1.pdf
【SGS 第三方含量检测】护肝胶囊（批号 LDT0115803）——莱特第七批.pdf：https://static.uda.cn/pdf/index.html?url=https://static.uda.cn/pdf/report1/LDT0115803/dsf2.pdf</t>
  </si>
  <si>
    <t>【SGS 英文报告】护肝胶囊（批号 LDT0115803）——莱特第七批.pdf：https://static.uda.cn/pdf/index.html?url=https://static.uda.cn/pdf/report1/LDT0115803/SGS1.pdf</t>
  </si>
  <si>
    <t>118</t>
  </si>
  <si>
    <t>麦角硫因谷胱甘肽（七）</t>
  </si>
  <si>
    <t>EG0115805</t>
  </si>
  <si>
    <t>【香港佳力高出厂检测】麦角硫因谷胱甘肽（批号 EG0115805）——莱特第七批.pdf：https://static.uda.cn/pdf/index.html?url=https://static.uda.cn/pdf/report1/EG0115805/ccbg1.pdf</t>
  </si>
  <si>
    <t>【SGS 第三方检测报告】麦角硫因谷胱甘肽（批号 EG0115805）——莱特第七批.pdf：https://static.uda.cn/pdf/index.html?url=https://static.uda.cn/pdf/report1/EG0115805/dsf1.pdf
【SGS 第三方检测（麦角硫因含量）】麦角硫因谷胱甘肽（批号 EG0115805）——莱特第七批.pdf：https://static.uda.cn/pdf/index.html?url=https://static.uda.cn/pdf/report1/EG0115805/dsf2.pdf</t>
  </si>
  <si>
    <t>【SGS 英文报告】麦角硫因谷胱甘肽（批号 EG0115805）——莱特第七批.pdf：https://static.uda.cn/pdf/index.html?url=https://static.uda.cn/pdf/report1/EG0115805/SGS1.pdf</t>
  </si>
  <si>
    <t>119</t>
  </si>
  <si>
    <t>GC0115804</t>
  </si>
  <si>
    <t>【香港出厂检测】氨糖软骨素（批号 GC0115804）——莱特第五批.pdf：https://static.uda.cn/pdf/index.html?url=https://static.uda.cn/pdf/report1/GC0115804/ccbg1.pdf</t>
  </si>
  <si>
    <t>【SGS 第三方检测】氨糖软骨素（批号 GC0115804）——莱特第五批.pdf：https://static.uda.cn/pdf/index.html?url=https://static.uda.cn/pdf/report1/GC0115804/dsf1.pdf</t>
  </si>
  <si>
    <t>【SGS 英文报告】氨糖软骨素（批号 GC0115804）——莱特第五批.pdf：https://static.uda.cn/pdf/index.html?url=https://static.uda.cn/pdf/report1/GC0115804/SGS1.pdf</t>
  </si>
  <si>
    <t>120</t>
  </si>
  <si>
    <t>亚精胺（五）</t>
  </si>
  <si>
    <t>SM0115803</t>
  </si>
  <si>
    <t>【香港佳力高出厂检测】亚精胺（批号 SM0115803）——莱特第五批.pdf：https://static.uda.cn/pdf/index.html?url=https://static.uda.cn/pdf/report1/SM0115803/ccbg1.pdf</t>
  </si>
  <si>
    <t>【SGS 第三方检测】亚精胺（批号 SM0115803）——莱特第五批.pdf：https://static.uda.cn/pdf/index.html?url=https://static.uda.cn/pdf/report1/SM0115803/dsf1.pdf</t>
  </si>
  <si>
    <t>【SGS 英文报告】亚精胺（批号 SM0115803）——莱特第五批.pdf：https://static.uda.cn/pdf/index.html?url=https://static.uda.cn/pdf/report1/SM0115803/SGS1.pdf</t>
  </si>
  <si>
    <t>121</t>
  </si>
  <si>
    <t>PQQ+PS（四）</t>
  </si>
  <si>
    <t>PP0115803</t>
  </si>
  <si>
    <t>【香港出厂检测】PAQQ+PS（批号 PP0115803）——莱特第四批 .pdf：https://static.uda.cn/pdf/index.html?url=https://static.uda.cn/pdf/report1/PP0115803/ccbg1.pdf</t>
  </si>
  <si>
    <t>【SGS 第三方检测】PQQ+PS（批号 PP0115803）——莱特第四批.pdf：https://static.uda.cn/pdf/index.html?url=https://static.uda.cn/pdf/report1/PP0115803/dsf1.pdf</t>
  </si>
  <si>
    <t>【SGS 英文报告】PQQ+PS（批号 PP0115803）——莱特第四批.pdf：https://static.uda.cn/pdf/index.html?url=https://static.uda.cn/pdf/report1/PP0115803/SGS1.pdf</t>
  </si>
  <si>
    <t>122</t>
  </si>
  <si>
    <t>NMN（250mg，莱特一）</t>
  </si>
  <si>
    <t>NMNH0115801</t>
  </si>
  <si>
    <t>【香港佳力高出厂检测】NMN（批号 NMNH0115801）——250mg 莱特第一批.pdf：https://static.uda.cn/pdf/index.html?url=https://static.uda.cn/pdf/report1/NMNH0115801/ccbg1.pdf</t>
  </si>
  <si>
    <t>【SGS 第三方检测（重金属+纯度）】NMN （批号 NMNH0115801）——250mg 莱特第一批.pdf：https://static.uda.cn/pdf/index.html?url=https://static.uda.cn/pdf/report1/NMNH0115801/dsf1.pdf
【SGS 第三方检测（微生物）】NMN（批号 NMNH0115801）——250mg 莱特第一批.pdf：https://static.uda.cn/pdf/index.html?url=https://static.uda.cn/pdf/report1/NMNH0115801/dsf2.pdf</t>
  </si>
  <si>
    <t>【SGS 英文报告（微生物）】NMN（批号 NMNH0115801）——250mg 莱特第一批.pdf：https://static.uda.cn/pdf/index.html?url=https://static.uda.cn/pdf/report1/NMNH0115801/SGS1.pdf
【SGS 英文报告（重金属+纯度）】NMN（批号 NMNH0115801）——250mg 莱特第一批.pdf：https://static.uda.cn/pdf/index.html?url=https://static.uda.cn/pdf/report1/NMNH0115801/SGS2.pdf</t>
  </si>
  <si>
    <t>123</t>
  </si>
  <si>
    <t>鱼油（十）</t>
  </si>
  <si>
    <t>FO0115806</t>
  </si>
  <si>
    <t>【香港佳力高出厂检测】鱼油（批号 FO0115806）——莱特第十批.pdf：https://static.uda.cn/pdf/index.html?url=https://static.uda.cn/pdf/report1/FO0115806/ccbg1.pdf</t>
  </si>
  <si>
    <t>【SGS 第三方检测（重金属+微生物+稳定性）】——鱼油（FO0115806）——莱特第十批.pdf：https://static.uda.cn/pdf/index.html?url=https://static.uda.cn/pdf/report1/FO0115806/dsf1.pdf
【SGS 第三方检测报告（辐射）】鱼油（批号 FO0115806）——莱特第十批.pdf：https://static.uda.cn/pdf/index.html?url=https://static.uda.cn/pdf/report1/FO0115806/dsf2.pdf
【SGS 第三方检测（含量面积法）】鱼油（批号 FO0115806）——莱特第十批.pdf：https://static.uda.cn/pdf/index.html?url=https://static.uda.cn/pdf/report1/FO0115806/dsf3.pdf</t>
  </si>
  <si>
    <t>【SGS 英文报告（重金属+微生物+稳定性）】鱼油（批号 FO0115806）——莱特第十批.pdf：https://static.uda.cn/pdf/index.html?url=https://static.uda.cn/pdf/report1/FO0115806/SGS1.pdf
【SGS 英文报告（脂肪酸含量-面积法）】鱼油（批号 FO0115806）——莱特第十批.pdf：https://static.uda.cn/pdf/index.html?url=https://static.uda.cn/pdf/report1/FO0115806/SGS2.pdf
【SGS 英文报告（辐射）】鱼油（批号 FO0115806）——莱特第十批.pdf：https://static.uda.cn/pdf/index.html?url=https://static.uda.cn/pdf/report1/FO0115806/SGS3.pdf</t>
  </si>
  <si>
    <t>124</t>
  </si>
  <si>
    <t>南非醉茄（莱特二批）</t>
  </si>
  <si>
    <t>AG0115802</t>
  </si>
  <si>
    <t>【香港佳力高出厂检测】南非醉茄（批号 AG0115802）——莱特第二批.pdf：https://static.uda.cn/pdf/index.html?url=https://static.uda.cn/pdf/report1/AG0115802/ccbg1.pdf</t>
  </si>
  <si>
    <t>【SGS 第三方检测】南非醉茄（批号 AG0115802）——莱特第二批.pdf：https://static.uda.cn/pdf/index.html?url=https://static.uda.cn/pdf/report1/AG0115802/dsf1.pdf</t>
  </si>
  <si>
    <t>【SGS 英文报告】南非醉茄（批号 AG0115802）——莱特第二批.pdf：https://static.uda.cn/pdf/index.html?url=https://static.uda.cn/pdf/report1/AG0115802/SGS1.pdf</t>
  </si>
  <si>
    <t>125</t>
  </si>
  <si>
    <t>苏糖酸镁大桶装（六）</t>
  </si>
  <si>
    <t>LMF0115806</t>
  </si>
  <si>
    <t>【香港佳力高出厂检测】苏糖酸镁（批号 LMF0115806）——莱特第六批.pdf：https://static.uda.cn/pdf/index.html?url=https://static.uda.cn/pdf/report1/LMF0115806/ccbg1.pdf</t>
  </si>
  <si>
    <t>【SGS 第三方检测】苏糖酸镁（批号 LMF0115806）——莱特第六批.pdf：https://static.uda.cn/pdf/index.html?url=https://static.uda.cn/pdf/report1/LMF0115806/dsf1.pdf</t>
  </si>
  <si>
    <t>【SGS 英文报告】苏糖酸镁（批号 LMF0115806）——莱特第六批.pdf：https://static.uda.cn/pdf/index.html?url=https://static.uda.cn/pdf/report1/LMF0115806/SGS1.pdf</t>
  </si>
  <si>
    <t>126</t>
  </si>
  <si>
    <t>麦角硫因谷胱甘肽（八）</t>
  </si>
  <si>
    <t>EG0115806</t>
  </si>
  <si>
    <t>【香港佳力高出厂检测】麦角硫因谷胱甘肽（批号 EG0115805）——莱特第七批.pdf：https://static.uda.cn/pdf/index.html?url=https://static.uda.cn/pdf/report1/EG0115806/ccbg1.pdf</t>
  </si>
  <si>
    <t>【SGS 第三方检测】麦角硫因谷胱甘肽（批号 EG0115806）——莱特第八批.pdf：https://static.uda.cn/pdf/index.html?url=https://static.uda.cn/pdf/report1/EG0115806/dsf1.pdf
【SGS 第三方检测（麦角硫因含量）】麦角硫因谷胱甘肽（批号 EG0115806）——莱特第八批.pdf：https://static.uda.cn/pdf/index.html?url=https://static.uda.cn/pdf/report1/EG0115806/dsf2.pdf</t>
  </si>
  <si>
    <t>【SGS 英文报告】麦角硫因谷胱甘肽（批号 EG0115806）——莱特第八批.pdf：https://static.uda.cn/pdf/index.html?url=https://static.uda.cn/pdf/report1/EG0115806/SGS1.pdf
【SGS 英文报告（麦角硫因含量）】麦角硫因谷胱甘肽（批号 EG0115806）——莱特第八批.pdf：https://static.uda.cn/pdf/index.html?url=https://static.uda.cn/pdf/report1/EG0115806/SGS2.pdf</t>
  </si>
  <si>
    <t>127</t>
  </si>
  <si>
    <t>喜来芝玛卡（reaps一）</t>
  </si>
  <si>
    <t>MK0915801</t>
  </si>
  <si>
    <t>【美国出厂检测】玛卡喜来芝（批号 MK0915801）——reaps第一批.pdf：https://static.uda.cn/pdf/index.html?url=https://static.uda.cn/pdf/report1/MK0915801/ccbg1.pdf</t>
  </si>
  <si>
    <t>【SGS 第三方检测】喜来芝玛卡（批号 MK0915801）——reaps第一批.pdf：https://static.uda.cn/pdf/index.html?url=https://static.uda.cn/pdf/report1/MK0915801/dsf1.pdf</t>
  </si>
  <si>
    <t>【SGS 英文报告】喜来芝玛卡（批号 MK0915801）——reaps第一批.pdf：https://static.uda.cn/pdf/index.html?url=https://static.uda.cn/pdf/report1/MK0915801/SGS1.pdf</t>
  </si>
  <si>
    <t>128</t>
  </si>
  <si>
    <t>活性女士复合维生素（四）</t>
  </si>
  <si>
    <t>WV0615803</t>
  </si>
  <si>
    <t>【美国出厂检测】女维（批号 WV0615803）——美国第四批.pdf：https://static.uda.cn/pdf/index.html?url=https://static.uda.cn/pdf/report1/WV0615803/ccbg1.pdf</t>
  </si>
  <si>
    <t>【SGS 第三方检测（维矿含量）】女维（批号 WV0615803）——美国第四批.pdf：https://static.uda.cn/pdf/index.html?url=https://static.uda.cn/pdf/report1/WV0615803/dsf1.pdf
【SGS 第三方检测（重金属+微生物）】女维（批号 WV0615803）——美国第四批.pdf：https://static.uda.cn/pdf/index.html?url=https://static.uda.cn/pdf/report1/WV0615803/dsf2.pdf
【SGS 第三方检测（B2、B6含量）】女维（批号 WV0615803）——美国第四批.pdf：https://static.uda.cn/pdf/index.html?url=https://static.uda.cn/pdf/report1/WV0615803/dsf3.pdf</t>
  </si>
  <si>
    <t>【SGS 英文报告（维矿含量）】女维（批号 WV0615803）——美国第四批.pdf：https://static.uda.cn/pdf/index.html?url=https://static.uda.cn/pdf/report1/WV0615803/SGS1.pdf
【SGS 英文报告（重金属+微生物）】女维（批号 WV0615803）——美国第四批.pdf：https://static.uda.cn/pdf/index.html?url=https://static.uda.cn/pdf/report1/WV0615803/SGS2.pdf
【SGS 英文报告（B2、B6含量）】女维（批号 WV0615803）——美国第四批.pdf：https://static.uda.cn/pdf/index.html?url=https://static.uda.cn/pdf/report1/WV0615803/SGS3.pdf</t>
  </si>
  <si>
    <t>129</t>
  </si>
  <si>
    <t>NMN（250mg，澳美一）</t>
  </si>
  <si>
    <t>NMNH0215801</t>
  </si>
  <si>
    <t>【香港出厂检测（添加量）】NMN（批号 NMNH0215801）——澳美第一批.pdf：https://static.uda.cn/pdf/index.html?url=https://static.uda.cn/pdf/report1/NMNH0215801/ccbg1.pdf
【香港出厂检测（重金属、微生物）】NMN（批号 NMNH0215801）——澳美第一批.pdf：https://static.uda.cn/pdf/index.html?url=https://static.uda.cn/pdf/report1/NMNH0215801/ccbg2.pdf</t>
  </si>
  <si>
    <t>【SGS 第三方检测】NMN（批号 NMNH0215801）——250mg 澳美第一批.pdf：https://static.uda.cn/pdf/index.html?url=https://static.uda.cn/pdf/report1/NMNH0215801/dsf1.pdf</t>
  </si>
  <si>
    <t>【SGS 英文报告】NMN（批号 NMNH0215801）——250mg 澳美第一批.pdf：https://static.uda.cn/pdf/index.html?url=https://static.uda.cn/pdf/report1/NMNH0215801/SGS1.pdf</t>
  </si>
  <si>
    <t>130</t>
  </si>
  <si>
    <t>活性男士复合维生素（四）</t>
  </si>
  <si>
    <t>MV0615803</t>
  </si>
  <si>
    <t>【美国出厂检测】男维（批号 MV0615803）——美国第四批.pdf：https://static.uda.cn/pdf/index.html?url=https://static.uda.cn/pdf/report1/MV0615803/ccbg1.pdf</t>
  </si>
  <si>
    <t>【SGS 第三方检测（重金属+微生物）男维（批号 MV0615803）——美国第四批.pdf：https://static.uda.cn/pdf/index.html?url=https://static.uda.cn/pdf/report1/MV0615803/dsf1.pdf
【SGS 第三方检测（维矿含量）】男维（批号 MV0615803）——美国第四批.pdf：https://static.uda.cn/pdf/index.html?url=https://static.uda.cn/pdf/report1/MV0615803/dsf2.pdf
【SGS 第三方检测（B2、B6 含量）】男维（批号 MV0615803）——美国第四批.pdf：https://static.uda.cn/pdf/index.html?url=https://static.uda.cn/pdf/report1/MV0615803/dsf3.pdf
【SGS 第三方检测（番茄红素含量）】男维（批号 MV0615803）——美国第四批.pdf：https://static.uda.cn/pdf/index.html?url=https://static.uda.cn/pdf/report1/MV0615803/dsf4.pdf</t>
  </si>
  <si>
    <t>【SGS 英文报告（重金属+微生物）】男维（批号 MV0615803）——美国第四批.pdf：https://static.uda.cn/pdf/index.html?url=https://static.uda.cn/pdf/report1/MV0615803/SGS1.pdf
【SGS 英文报告（B2、B6 含量）】男维（批号 MV0615803）——美国第四批.pdf：https://static.uda.cn/pdf/index.html?url=https://static.uda.cn/pdf/report1/MV0615803/SGS2.pdf
【SGS 英文报告（维矿含量）】男维（批号 MV0615803）——美国第四批.pdf：https://static.uda.cn/pdf/index.html?url=https://static.uda.cn/pdf/report1/MV0615803/SGS3.pdf
【SGS 英文报告（番茄红素含量）】男维（MV0615803）——美国第四批.pdf：https://static.uda.cn/pdf/index.html?url=https://static.uda.cn/pdf/report1/MV0615803/SGS4.pdf</t>
  </si>
  <si>
    <t>131</t>
  </si>
  <si>
    <t>护肝胶囊（八）</t>
  </si>
  <si>
    <t>LDT0115804</t>
  </si>
  <si>
    <t>【香港出厂检测】护肝（批号 LDT0115804）——莱特第八批.pdf：https://static.uda.cn/pdf/index.html?url=https://static.uda.cn/pdf/report1/LDT0115804/ccbg1.pdf</t>
  </si>
  <si>
    <t>【SGS 第三方检测】护肝（批号 LDT0115804）——莱特第八批.pdf：https://static.uda.cn/pdf/index.html?url=https://static.uda.cn/pdf/report1/LDT0115804/dsf1.pdf
【SGS 第三方检测（水飞蓟宾含量）】护肝（批号 LDT0115804）——莱特第八批.pdf：https://static.uda.cn/pdf/index.html?url=https://static.uda.cn/pdf/report1/LDT0115804/dsf2.pdf</t>
  </si>
  <si>
    <t>【SGS 英文报告】护肝（批号 LDT0115804）——莱特第八批.pdf：https://static.uda.cn/pdf/index.html?url=https://static.uda.cn/pdf/report1/LDT0115804/SGS1.pdf</t>
  </si>
  <si>
    <t>132</t>
  </si>
  <si>
    <t>小檗碱（一）</t>
  </si>
  <si>
    <t>BB0115801</t>
  </si>
  <si>
    <t>【香港出厂检测】小檗碱（批号 BB0115801）——莱特第一批.pdf：https://static.uda.cn/pdf/index.html?url=https://static.uda.cn/pdf/report1/BB0115801/ccbg1.pdf</t>
  </si>
  <si>
    <t>【SGS 第三方检测】小檗碱（批号 BB0115801）——莱特第一批.pdf：https://static.uda.cn/pdf/index.html?url=https://static.uda.cn/pdf/report1/BB0115801/dsf1.pdf</t>
  </si>
  <si>
    <t>【SGS 英文报告】小檗碱（批号 BB0115801）——莱特第一批.pdf：https://static.uda.cn/pdf/index.html?url=https://static.uda.cn/pdf/report1/BB0115801/SGS1.pdf</t>
  </si>
  <si>
    <t>133</t>
  </si>
  <si>
    <t>姜黄素（六）</t>
  </si>
  <si>
    <t>UC0115805</t>
  </si>
  <si>
    <t>【香港出厂检测】姜黄素（批号 UC0115805）——莱特第六批.pdf：https://static.uda.cn/pdf/index.html?url=https://static.uda.cn/pdf/report1/UC0115805/ccbg1.pdf</t>
  </si>
  <si>
    <t>【SGS 第三方检测（重金属+微生物）姜黄素（批号 UC0115805）——莱特第六批.pdf：https://static.uda.cn/pdf/index.html?url=https://static.uda.cn/pdf/report1/UC0115805/dsf1.pdf
【SGS 第三方检测（姜黄素含量）】姜黄素（批号 UC0115805）——莱特第六批.pdf：https://static.uda.cn/pdf/index.html?url=https://static.uda.cn/pdf/report1/UC0115805/dsf2.pdf</t>
  </si>
  <si>
    <t>【SGS 英文报告（重金属+微生物）】姜黄素（批号 UC0115805）——莱特第六批.pdf：https://static.uda.cn/pdf/index.html?url=https://static.uda.cn/pdf/report1/UC0115805/SGS1.pdf
【SGS 英文报告（姜黄素含量）】姜黄素（批号 UC0115805）——莱特第六批.pdf：https://static.uda.cn/pdf/index.html?url=https://static.uda.cn/pdf/report1/UC0115805/SGS2.pdf</t>
  </si>
  <si>
    <t>134</t>
  </si>
  <si>
    <t>苏糖酸镁大桶装（七）</t>
  </si>
  <si>
    <t>LMF0115807</t>
  </si>
  <si>
    <t>【香港佳力高出厂检测】苏糖酸镁大桶装（批号 LMF0115807）——莱特第七批.pdf：https://static.uda.cn/pdf/index.html?url=https://static.uda.cn/pdf/report1/LMF0115807/ccbg1.pdf</t>
  </si>
  <si>
    <t>【SGS 第三方检测】苏糖酸镁大桶装（批号 LMF0115807）——莱特第七批.pdf：https://static.uda.cn/pdf/index.html?url=https://static.uda.cn/pdf/report1/LMF0115807/dsf1.pdf</t>
  </si>
  <si>
    <t>【SGS 英文报告】苏糖酸镁大桶装（批号 LMF0115807）——莱特第七批.pdf：https://static.uda.cn/pdf/index.html?url=https://static.uda.cn/pdf/report1/LMF0115807/SGS1.pdf</t>
  </si>
  <si>
    <t>135</t>
  </si>
  <si>
    <t>AKK（八）</t>
  </si>
  <si>
    <t>AK0115806</t>
  </si>
  <si>
    <t>【香港佳力高出厂检测】AKK（批号 AK0115806）——莱特第八批.pdf：https://static.uda.cn/pdf/index.html?url=https://static.uda.cn/pdf/report1/AK0115806/ccbg1.pdf</t>
  </si>
  <si>
    <t>【SGS 第三方检测（微生物）】AKK（批号 AK0115806）——莱特第八批.pdf：https://static.uda.cn/pdf/index.html?url=https://static.uda.cn/pdf/report1/AK0115806/dsf1.pdf
【SGS 第三方检测（重金属）】AKK（批号 AK0115806）——莱特第八批.pdf：https://static.uda.cn/pdf/index.html?url=https://static.uda.cn/pdf/report1/AK0115806/dsf2.pdf</t>
  </si>
  <si>
    <t>【SGS 英文报告（重金属）】AKK（批号 AK0115806）——莱特第八批.pdf：https://static.uda.cn/pdf/index.html?url=https://static.uda.cn/pdf/report1/AK0115806/SGS1.pdf
【SGS 英文报告（微生物）】AKK（批号 AK0115806）——莱特第八批.pdf：https://static.uda.cn/pdf/index.html?url=https://static.uda.cn/pdf/report1/AK0115806/SGS2.pdf</t>
  </si>
  <si>
    <t>136</t>
  </si>
  <si>
    <t>鱼油（十一）</t>
  </si>
  <si>
    <t>FO0115807</t>
  </si>
  <si>
    <t>【香港佳力高检测】鱼油（批号 FO0115807）——莱特第十一批.pdf：https://static.uda.cn/pdf/index.html?url=https://static.uda.cn/pdf/report1/FO0115807/ccbg1.pdf</t>
  </si>
  <si>
    <t>【SGS 第三方检测（含量-面积法）】鱼油（批号 FO0115807）——莱特第十一批.pdf：https://static.uda.cn/pdf/index.html?url=https://static.uda.cn/pdf/report1/FO0115807/dsf1.pdf
【SGS 第三方检测（辐射）】鱼油（批号 FO0115807）——莱特第十一批.pdf：https://static.uda.cn/pdf/index.html?url=https://static.uda.cn/pdf/report1/FO0115807/dsf2.pdf
【SGS 第三方检测（重金属、微生物、稳定性）】鱼油（批号 FO0115807）——莱特第十一批.pdf：https://static.uda.cn/pdf/index.html?url=https://static.uda.cn/pdf/report1/FO0115807/dsf3.pdf</t>
  </si>
  <si>
    <t>【SGS 英文报告（辐射）】鱼油（批号 FO0115807）——莱特第十一批.pdf：https://static.uda.cn/pdf/index.html?url=https://static.uda.cn/pdf/report1/FO0115807/SGS1.pdf
【SGS 英文报告（含量-面积法）】鱼油（批号 FO0115807）——莱特第十一批.pdf：https://static.uda.cn/pdf/index.html?url=https://static.uda.cn/pdf/report1/FO0115807/SGS2.pdf
【SGS 英文报告（重金属、微生物、稳定性）】鱼油（批号 FO0115807）——莱特第十一批.pdf：https://static.uda.cn/pdf/index.html?url=https://static.uda.cn/pdf/report1/FO0115807/SGS3.pdf</t>
  </si>
  <si>
    <t>137</t>
  </si>
  <si>
    <t>GC0115805</t>
  </si>
  <si>
    <t>【香港佳力高出厂检测】氨糖软骨素（批号 GC0115805）——莱特第六批.pdf：https://static.uda.cn/pdf/index.html?url=https://static.uda.cn/pdf/report1/GC0115805/ccbg1.pdf</t>
  </si>
  <si>
    <t>【SGS 第三方检测】氨糖软骨素（批号 GC0115805）——莱特第六批.pdf：https://static.uda.cn/pdf/index.html?url=https://static.uda.cn/pdf/report1/GC0115805/dsf1.pdf</t>
  </si>
  <si>
    <t>【SGS 英文报告】氨糖软骨素（批号 GC0115805）——莱特第六批.pdf：https://static.uda.cn/pdf/index.html?url=https://static.uda.cn/pdf/report1/GC0115805/SGS1.pdf</t>
  </si>
  <si>
    <t>138</t>
  </si>
  <si>
    <t>南非醉茄（莱特三批）</t>
  </si>
  <si>
    <t>AG0115803</t>
  </si>
  <si>
    <t>【香港佳力高出厂检测】南非醉茄（批号 AG0115803）——莱特第三批.pdf：https://static.uda.cn/pdf/index.html?url=https://static.uda.cn/pdf/report1/AG0115803/ccbg1.pdf</t>
  </si>
  <si>
    <t>【SGS 第三方检测】南非醉茄（批号 AG0115803）——莱特第三批.pdf：https://static.uda.cn/pdf/index.html?url=https://static.uda.cn/pdf/report1/AG0115803/dsf1.pdf</t>
  </si>
  <si>
    <t>【SGS 英文报告】南非醉茄（批号 AG0115803）——莱特第三批.pdf：https://static.uda.cn/pdf/index.html?url=https://static.uda.cn/pdf/report1/AG0115803/SGS1.pdf</t>
  </si>
  <si>
    <t>139</t>
  </si>
  <si>
    <t>NMN（250mg，莱特二）</t>
  </si>
  <si>
    <t>NMNH0115802</t>
  </si>
  <si>
    <t>【香港佳力高出厂检测】NMN 大桶装（批号 NMNH0115802）——250mg 莱特第二批.pdf：https://static.uda.cn/pdf/index.html?url=https://static.uda.cn/pdf/report1/NMNH0115802/ccbg1.pdf</t>
  </si>
  <si>
    <t>【SGS 第三方检测】NMN（批号 NMNH0115802）——250mg 莱特第二批.pdf：https://static.uda.cn/pdf/index.html?url=https://static.uda.cn/pdf/report1/NMNH0115802/dsf1.pdf</t>
  </si>
  <si>
    <t>【SGS 英文报告】NMN（批号 NMNH0115802）——250mg 莱特第二批.pdf：https://static.uda.cn/pdf/index.html?url=https://static.uda.cn/pdf/report1/NMNH0115802/SGS1.pdf</t>
  </si>
  <si>
    <t>140</t>
  </si>
  <si>
    <t>辅酶（七）</t>
  </si>
  <si>
    <t>QH0115805</t>
  </si>
  <si>
    <t>【香港佳力高出厂检测】辅酶Q10（批号 QH0115805）——莱特第七批.pdf：https://static.uda.cn/pdf/index.html?url=https://static.uda.cn/pdf/report1/QH0115805/ccbg1.pdf</t>
  </si>
  <si>
    <t>【SGS 第三方检测】辅酶Q10（批号 QH0115805）——莱特第七批.pdf：https://static.uda.cn/pdf/index.html?url=https://static.uda.cn/pdf/report1/QH0115805/dsf1.pdf
【SGS 第三方检测（含量）】辅酶Q10（批号 QH0115805）——莱特第七批.pdf：https://static.uda.cn/pdf/index.html?url=https://static.uda.cn/pdf/report1/QH0115805/dsf2.pdf</t>
  </si>
  <si>
    <t>【SGS 英文报告】辅酶Q10（批号 QH0115805）——莱特第七批.pdf：https://static.uda.cn/pdf/index.html?url=https://static.uda.cn/pdf/report1/QH0115805/SGS1.pdf
【SGS 英文报告（含量）】辅酶Q10（批号 QH0115805）.pdf：https://static.uda.cn/pdf/index.html?url=https://static.uda.cn/pdf/report1/QH0115805/SGS2.pdf</t>
  </si>
  <si>
    <t>141</t>
  </si>
  <si>
    <t>TMG0115803</t>
  </si>
  <si>
    <t>【香港佳力高出厂检测】TMG（批号 TMG0115803）——莱特第五批.pdf：https://static.uda.cn/pdf/index.html?url=https://static.uda.cn/pdf/report1/TMG0115803/ccbg1.pdf</t>
  </si>
  <si>
    <t>【SGS 第三方检测】TMG（批号 TMG0115803）——莱特第五批.pdf：https://static.uda.cn/pdf/index.html?url=https://static.uda.cn/pdf/report1/TMG0115803/dsf1.pdf</t>
  </si>
  <si>
    <t>【SGS 英文报告】TMG（批号 TMG0115803）——莱特第五批.pdf：https://static.uda.cn/pdf/index.html?url=https://static.uda.cn/pdf/report1/TMG0115803/SGS1.pdf</t>
  </si>
  <si>
    <t>142</t>
  </si>
  <si>
    <t>锯棕榈番茄红素 Pro 版软胶囊（四）</t>
  </si>
  <si>
    <t>OSL0115802</t>
  </si>
  <si>
    <t>【香港佳力高出厂检测】锯棕榈番茄红素（批号 OSL0115802）——莱特第四批.pdf：https://static.uda.cn/pdf/index.html?url=https://static.uda.cn/pdf/report1/OSL0115802/ccbg1.pdf</t>
  </si>
  <si>
    <t>【SGS 第三方检测】锯棕榈番茄红素（批号 OSL0115802）——莱特第四批.pdf：https://static.uda.cn/pdf/index.html?url=https://static.uda.cn/pdf/report1/OSL0115802/dsf1.pdf</t>
  </si>
  <si>
    <t>【SGS 英文报告】锯棕榈番茄红素（批号 OSL0115802）——莱特第四批.pdf：https://static.uda.cn/pdf/index.html?url=https://static.uda.cn/pdf/report1/OSL0115802/SGS1.pdf</t>
  </si>
  <si>
    <t>143</t>
  </si>
  <si>
    <t>VL0815801</t>
  </si>
  <si>
    <t>【韩国出厂检测】维生素D3滴剂（批号 VL0815801）——科丝美诗第一批.pdf：https://static.uda.cn/pdf/index.html?url=https://static.uda.cn/pdf/report1/VL0815801/ccbg1.pdf</t>
  </si>
  <si>
    <t>【SGS 第三方检测（重金属+微生物+稳定性+黄曲霉）】维生素D3滴剂（批号 VL0815801）——科丝美诗第一批.pdf：https://static.uda.cn/pdf/index.html?url=https://static.uda.cn/pdf/report1/VL0815801/dsf1.pdf
【SGS 第三方检测（含量）】维生素D3滴剂（批号 VL0815801）——科丝美诗第一批.pdf：https://static.uda.cn/pdf/index.html?url=https://static.uda.cn/pdf/report1/VL0815801/dsf2.pdf
【SGS 第三方检测（过敏原）】维生素 D3 滴剂（批号 VL0815801）.pdf：https://static.uda.cn/pdf/index.html?url=https://static.uda.cn/pdf/report1/VL0815801/dsf3.pdf</t>
  </si>
  <si>
    <t>【SGS 英文报告（重金属+微生物+稳定性+黄曲霉）】维生素D3滴剂（批号 VL0815801）.pdf：https://static.uda.cn/pdf/index.html?url=https://static.uda.cn/pdf/report1/VL0815801/SGS1.pdf
【SGS英文报告（含量）】维生素D3滴剂（批号 VL0815801）.pdf：https://static.uda.cn/pdf/index.html?url=https://static.uda.cn/pdf/report1/VL0815801/SGS2.pdf
【SGS 英文报告（过敏原）】维生素 D3 滴剂（批号 VL0815801）.pdf：https://static.uda.cn/pdf/index.html?url=https://static.uda.cn/pdf/report1/VL0815801/SGS3.pdf</t>
  </si>
  <si>
    <t>DSM VD3 1.0MIUg.pdf：https://static.uda.cn/pdf/index.html?url=https://static.uda.cn/pdf/report1/VL0815801/COA1.pdf</t>
  </si>
  <si>
    <t>144</t>
  </si>
  <si>
    <t>亚精胺（六）</t>
  </si>
  <si>
    <t>SM0115804</t>
  </si>
  <si>
    <t>【香港出厂检测】亚精胺 (批号 SM0115804) ——莱特第六批.pdf：https://static.uda.cn/pdf/index.html?url=https://static.uda.cn/pdf/report1/SM0115804/ccbg1.pdf</t>
  </si>
  <si>
    <t>【SGS 第三方检测】亚精胺（批号 SM0115804）——莱特第六批.pdf：https://static.uda.cn/pdf/index.html?url=https://static.uda.cn/pdf/report1/SM0115804/dsf1.pdf</t>
  </si>
  <si>
    <t>【SGS 英文报告】亚精胺（批号 SM0115804）.pdf：https://static.uda.cn/pdf/index.html?url=https://static.uda.cn/pdf/report1/SM0115804/SGS1.pdf</t>
  </si>
  <si>
    <t>145</t>
  </si>
  <si>
    <t>麦角硫因你谷胱甘肽（九）</t>
  </si>
  <si>
    <t>EG0115807</t>
  </si>
  <si>
    <t>【香港佳力高出厂检测】麦角硫因谷胱甘肽（批号 EG0115807）——莱特第九批.pdf：https://static.uda.cn/pdf/index.html?url=https://static.uda.cn/pdf/report1/EG0115807/ccbg1.pdf</t>
  </si>
  <si>
    <t>【SGS 第三方检测（麦角硫因含量）】麦角硫因谷胱甘肽（批号 EG0115807）.pdf：https://static.uda.cn/pdf/index.html?url=https://static.uda.cn/pdf/report1/EG0115807/dsf1.pdf
【SGS 第三方检测（重金属+微生物）】麦角硫谷胱甘肽（批号 EG0115807）.pdf：https://static.uda.cn/pdf/index.html?url=https://static.uda.cn/pdf/report1/EG0115807/dsf2.pdf
【SGS 第三方检测（碘含量）】麦角硫因谷胱甘肽（批号 EG0115807）.pdf：https://static.uda.cn/pdf/index.html?url=https://static.uda.cn/pdf/report1/EG0115807/dsf3.pdf</t>
  </si>
  <si>
    <t>【SGS 英文报告（重金属+微生物）】麦角硫因谷胱甘肽（批号 EG0115807）.pdf：https://static.uda.cn/pdf/index.html?url=https://static.uda.cn/pdf/report1/EG0115807/SGS1.pdf
【SGS 英文报告（碘含量）】麦角硫因谷胱甘肽（批号 EG0115807）.pdf：https://static.uda.cn/pdf/index.html?url=https://static.uda.cn/pdf/report1/EG0115807/SGS2.pdf
【SGS 英文报告（麦角硫因含量）】麦角硫因谷胱甘肽（批号 EG0115807）.pdf：https://static.uda.cn/pdf/index.html?url=https://static.uda.cn/pdf/report1/EG0115807/SGS3.pdf</t>
  </si>
  <si>
    <t>146</t>
  </si>
  <si>
    <t>NMN（250mg，莱特三）</t>
  </si>
  <si>
    <t>NMNH0115803</t>
  </si>
  <si>
    <t>【香港出厂检测】NMN(批号 NMNH0115803) 250mg莱特第三批.pdf：https://static.uda.cn/pdf/index.html?url=https://static.uda.cn/pdf/report1/NMNH0115803/ccbg1.pdf</t>
  </si>
  <si>
    <t>【SGS 第三方检测】NMN（批号 NMNH0115803）.pdf：https://static.uda.cn/pdf/index.html?url=https://static.uda.cn/pdf/report1/NMNH0115803/dsf1.pdf</t>
  </si>
  <si>
    <t>【SGS 英文报告】NMN（批号 NMNH0115803）.pdf：https://static.uda.cn/pdf/index.html?url=https://static.uda.cn/pdf/report1/NMNH0115803/SGS1.pdf</t>
  </si>
  <si>
    <t>147</t>
  </si>
  <si>
    <t>护肝胶囊（九）</t>
  </si>
  <si>
    <t>LDT0115805</t>
  </si>
  <si>
    <t>【香港出厂检测】护肝胶囊(批号 LDT0115805) ——莱特第九批.pdf：https://static.uda.cn/pdf/index.html?url=https://static.uda.cn/pdf/report1/LDT0115805/ccbg1.pdf</t>
  </si>
  <si>
    <t>【SGS 第三方检测（水飞蓟宾含量）】护肝胶囊（批号 LDT0115805）.pdf：https://static.uda.cn/pdf/index.html?url=https://static.uda.cn/pdf/report1/LDT0115805/dsf1.pdf
【SGS 第三方检测（装量）】护肝胶囊（批号 LDT0115805）.pdf：https://static.uda.cn/pdf/index.html?url=https://static.uda.cn/pdf/report1/LDT0115805/dsf2.pdf
【SGS 第三方检测（重金属+微生物）】护肝胶囊（批号 LDT0115805）.pdf：https://static.uda.cn/pdf/index.html?url=https://static.uda.cn/pdf/report1/LDT0115805/dsf3.pdf</t>
  </si>
  <si>
    <t>【SGS 英文报告（装量）】护肝胶囊（批号 LDT0115805）.pdf：https://static.uda.cn/pdf/index.html?url=https://static.uda.cn/pdf/report1/LDT0115805/SGS1.pdf
【SGS 英文报告（重金属+微生物）】护肝胶囊（批号 LDT0115805）.pdf：https://static.uda.cn/pdf/index.html?url=https://static.uda.cn/pdf/report1/LDT0115805/SGS2.pdf</t>
  </si>
  <si>
    <t>148</t>
  </si>
  <si>
    <t>OPO0115803</t>
  </si>
  <si>
    <t>【香港佳力高出厂检测】牡蛎精（批号 OPO0115803）.pdf：https://static.uda.cn/pdf/index.html?url=https://static.uda.cn/pdf/report1/OPO0115803/ccbg1.pdf</t>
  </si>
  <si>
    <t>【SGS 第三方检测】牡蛎精（批号 OPO0115803）.pdf：https://static.uda.cn/pdf/index.html?url=https://static.uda.cn/pdf/report1/OPO0115803/dsf1.pdf</t>
  </si>
  <si>
    <t>【SGS 英文报告】牡蛎精（批号 OPO0115803）.pdf：https://static.uda.cn/pdf/index.html?url=https://static.uda.cn/pdf/report1/OPO0115803/SGS1.pdf</t>
  </si>
  <si>
    <t>149</t>
  </si>
  <si>
    <t>AKG0115802</t>
  </si>
  <si>
    <t>【香港佳力高出厂检测】AKG（批号 AKG0115802）——莱特第二批.pdf：https://static.uda.cn/pdf/index.html?url=https://static.uda.cn/pdf/report1/AKG0115802/ccbg1.pdf</t>
  </si>
  <si>
    <t>【SGS 第三方检测】AKG（批号 AKG0115802）.pdf：https://static.uda.cn/pdf/index.html?url=https://static.uda.cn/pdf/report1/AKG0115802/dsf1.pdf</t>
  </si>
  <si>
    <t>【SGS 英文报告】AKG（批号 AKG0115802）.pdf：https://static.uda.cn/pdf/index.html?url=https://static.uda.cn/pdf/report1/AKG0115802/SGS1.pdf</t>
  </si>
  <si>
    <t>150</t>
  </si>
  <si>
    <t>NK0115802</t>
  </si>
  <si>
    <t>【香港佳力高出厂检测】纳豆激酶 (NK0115802) ——莱特第二批.pdf：https://static.uda.cn/pdf/index.html?url=https://static.uda.cn/pdf/report1/NK0115802/ccbg1.pdf</t>
  </si>
  <si>
    <t>【SGS 第三方检测】纳豆激酶（批号 NK0115802）.pdf：https://static.uda.cn/pdf/index.html?url=https://static.uda.cn/pdf/report1/NK0115802/dsf1.pdf</t>
  </si>
  <si>
    <t>【SGS 英文报告】纳豆激酶（批号 NK0115802）.pdf：https://static.uda.cn/pdf/index.html?url=https://static.uda.cn/pdf/report1/NK0115802/SGS1.pdf</t>
  </si>
  <si>
    <t>151</t>
  </si>
  <si>
    <t>FO0115808</t>
  </si>
  <si>
    <t>【香港佳力高出厂检测】鱼油（批号 FO0115808）.pdf：https://static.uda.cn/pdf/index.html?url=https://static.uda.cn/pdf/report1/FO0115808/ccbg1.pdf</t>
  </si>
  <si>
    <t>【SGS 第三方检测（重金属+微生物+稳定性）】鱼油（批号 FO0115808）.pdf：https://static.uda.cn/pdf/index.html?url=https://static.uda.cn/pdf/report1/FO0115808/dsf1.pdf
【SGS 第三方检测（含量面积法）】鱼油（批号 FO0115808）.pdf：https://static.uda.cn/pdf/index.html?url=https://static.uda.cn/pdf/report1/FO0115808/dsf2.pdf
【SGS 第三方检测（辐射）】鱼油（批号 FO0115808）.pdf：https://static.uda.cn/pdf/index.html?url=https://static.uda.cn/pdf/report1/FO0115808/dsf3.pdf</t>
  </si>
  <si>
    <t>【SGS 英文报告（重金属+微生物+稳定性）】鱼油（批号 FO0115808）.pdf：https://static.uda.cn/pdf/index.html?url=https://static.uda.cn/pdf/report1/FO0115808/SGS1.pdf
【SGS 英文报告（含量面积法）】鱼油（批号 FO0115808）.pdf：https://static.uda.cn/pdf/index.html?url=https://static.uda.cn/pdf/report1/FO0115808/SGS2.pdf
【SGS 英文报告（辐射）】鱼油（批号 FO0115808）.pdf：https://static.uda.cn/pdf/index.html?url=https://static.uda.cn/pdf/report1/FO0115808/SGS3.pdf</t>
  </si>
  <si>
    <t>152</t>
  </si>
  <si>
    <t>SM0115805</t>
  </si>
  <si>
    <t>【香港佳力高出厂检测】亚精胺（批号 SM0115805）.pdf：https://static.uda.cn/pdf/index.html?url=https://static.uda.cn/pdf/report1/SM0115805/ccbg1.pdf</t>
  </si>
  <si>
    <t>【SGS 第三方检测】亚精胺（批号 SM0115805）.pdf：https://static.uda.cn/pdf/index.html?url=https://static.uda.cn/pdf/report1/SM0115805/dsf1.pdf</t>
  </si>
  <si>
    <t>【SGS 英文报告】亚精胺（批号 SM0115805）.pdf：https://static.uda.cn/pdf/index.html?url=https://static.uda.cn/pdf/report1/SM0115805/SGS1.pdf</t>
  </si>
  <si>
    <t>153</t>
  </si>
  <si>
    <t>AZ0115801</t>
  </si>
  <si>
    <t>【香港佳力高出厂检测】虾青素（批号 AZ0115801）.pdf：https://static.uda.cn/pdf/index.html?url=https://static.uda.cn/pdf/report1/AZ0115801/ccbg1.pdf</t>
  </si>
  <si>
    <t>【SGS 第三方检测（虾青素含量）】虾青素（批号 AZ0115801）.pdf：https://static.uda.cn/pdf/index.html?url=https://static.uda.cn/pdf/report1/AZ0115801/dsf1.pdf
【SGS 第三方检测】虾青素（批号 AZ0115801）.pdf：https://static.uda.cn/pdf/index.html?url=https://static.uda.cn/pdf/report1/AZ0115801/dsf2.pdf</t>
  </si>
  <si>
    <t>【SGS 英文报告】虾青素（批号 AZ0115801）.pdf：https://static.uda.cn/pdf/index.html?url=https://static.uda.cn/pdf/report1/AZ0115801/SGS1.pdf
【SGS 英文报告（虾青素含量）】虾青素（批号 AZ0115801）.pdf：https://static.uda.cn/pdf/index.html?url=https://static.uda.cn/pdf/report1/AZ0115801/SGS2.pdf</t>
  </si>
  <si>
    <t>154</t>
  </si>
  <si>
    <t>QC0115804</t>
  </si>
  <si>
    <t>【香港佳力高出厂检测】槲皮素（批号 QC0115804）.pdf：https://static.uda.cn/pdf/index.html?url=https://static.uda.cn/pdf/report1/QC0115804/ccbg1.pdf</t>
  </si>
  <si>
    <t>【SGS 第三方检测】槲皮素（批号 QC0115804）.pdf：https://static.uda.cn/pdf/index.html?url=https://static.uda.cn/pdf/report1/QC0115804/dsf1.pdf</t>
  </si>
  <si>
    <t>【SGS 英文报告】槲皮素（批号 QC0115804）.pdf：https://static.uda.cn/pdf/index.html?url=https://static.uda.cn/pdf/report1/QC0115804/SGS1.pdf</t>
  </si>
  <si>
    <t>155</t>
  </si>
  <si>
    <t>UC0115806</t>
  </si>
  <si>
    <t>【香港佳力高出厂检测】姜黄素（批号 UC0115806）.pdf：https://static.uda.cn/pdf/index.html?url=https://static.uda.cn/pdf/report1/UC0115806/ccbg1.pdf</t>
  </si>
  <si>
    <t>【SGS 第三方检测】姜黄素（批号 UC0115806）.pdf：https://static.uda.cn/pdf/index.html?url=https://static.uda.cn/pdf/report1/UC0115806/dsf1.pdf
【SGS 第三方检测（姜黄素含量）】姜黄素（批号 UC0115806）.pdf：https://static.uda.cn/pdf/index.html?url=https://static.uda.cn/pdf/report1/UC0115806/dsf2.pdf</t>
  </si>
  <si>
    <t>【SGS 英文报告】姜黄素（批号 UC0115806）.pdf：https://static.uda.cn/pdf/index.html?url=https://static.uda.cn/pdf/report1/UC0115806/SGS1.pdf
【SGS 英文报告（姜黄素含量）】姜黄素（批号 UC0115806）.pdf：https://static.uda.cn/pdf/index.html?url=https://static.uda.cn/pdf/report1/UC0115806/SGS2.pdf</t>
  </si>
  <si>
    <t>156</t>
  </si>
  <si>
    <t>养胃益生菌（莱特一）</t>
  </si>
  <si>
    <t>PL0115801</t>
  </si>
  <si>
    <t>【香港佳力高出厂检测】养胃益生菌（批号 PL0115801）.pdf：https://static.uda.cn/pdf/index.html?url=https://static.uda.cn/pdf/report1/PL0115801/ccbg1.pdf</t>
  </si>
  <si>
    <t>【SGS 第三方检测（装量+谷氨酰胺）】养胃益生菌（批号 PL0115801）.pdf：https://static.uda.cn/pdf/index.html?url=https://static.uda.cn/pdf/report1/PL0115801/dsf1.pdf
【SGS 第三方检测】养胃益生菌（批号 PL0115801）——莱特第一批.pdf：https://static.uda.cn/pdf/index.html?url=https://static.uda.cn/pdf/report1/PL0115801/dsf2.pdf</t>
  </si>
  <si>
    <t>【SGS 英文报告】养胃益生菌（批号 PL0115801）——莱特第一批.pdf：https://static.uda.cn/pdf/index.html?url=https://static.uda.cn/pdf/report1/PL0115801/SGS1.pdf
【SGS 英文报告（装量+谷氨酰胺含量）】养胃益生菌（批号 PL0115801）.pdf：https://static.uda.cn/pdf/index.html?url=https://static.uda.cn/pdf/report1/PL0115801/SGS2.pdf</t>
  </si>
  <si>
    <t>157</t>
  </si>
  <si>
    <t>AK0115807</t>
  </si>
  <si>
    <t>【香港佳力高检测】AKK（批号 AK0115807）.pdf：https://static.uda.cn/pdf/index.html?url=https://static.uda.cn/pdf/report1/AK0115807/ccbg1.pdf</t>
  </si>
  <si>
    <t>【SGS 第三方检测】AKK（批号 AK0115807）.pdf：https://static.uda.cn/pdf/index.html?url=https://static.uda.cn/pdf/report1/AK0115807/dsf1.pdf</t>
  </si>
  <si>
    <t>【SGS 英文报告】AKK（批号 AK0115807）.pdf：https://static.uda.cn/pdf/index.html?url=https://static.uda.cn/pdf/report1/AK0115807/SGS1.pdf</t>
  </si>
  <si>
    <t>158</t>
  </si>
  <si>
    <t>QH0115806</t>
  </si>
  <si>
    <t>【香港佳力高检测】辅酶Q10（批号 QH0115806）.pdf：https://static.uda.cn/pdf/index.html?url=https://static.uda.cn/pdf/report1/QH0115806/ccbg1.pdf</t>
  </si>
  <si>
    <t>【SGS 第三方检测（重金属+微生物）】辅酶Q10（批号 QH0115806）.pdf：https://static.uda.cn/pdf/index.html?url=https://static.uda.cn/pdf/report1/QH0115806/dsf1.pdf
【SGS 第三方检测（辅酶含量）】辅酶Q10（批号 QH0115806）.pdf：https://static.uda.cn/pdf/index.html?url=https://static.uda.cn/pdf/report1/QH0115806/dsf2.pdf</t>
  </si>
  <si>
    <t>【SGS 英文报告（重金属+微生物）】辅酶Q10（批号 QH0115806）.pdf：https://static.uda.cn/pdf/index.html?url=https://static.uda.cn/pdf/report1/QH0115806/SGS1.pdf
【SGS 英文报告（辅酶含量）】辅酶Q10（批号 QH0115806）.pdf：https://static.uda.cn/pdf/index.html?url=https://static.uda.cn/pdf/report1/QH0115806/SGS2.pdf</t>
  </si>
  <si>
    <t>159</t>
  </si>
  <si>
    <t>GC0115806</t>
  </si>
  <si>
    <t>【香港佳力高检测】氨糖软骨素（批号 GC0115806）.pdf：https://static.uda.cn/pdf/index.html?url=https://static.uda.cn/pdf/report1/GC0115806/ccbg1.pdf</t>
  </si>
  <si>
    <t>【SGS 第三方检测】氨糖软骨素（批号 GC0115806）.pdf：https://static.uda.cn/pdf/index.html?url=https://static.uda.cn/pdf/report1/GC0115806/dsf1.pdf</t>
  </si>
  <si>
    <t>【SGS 英文报告】氨糖软骨素（批号 GC0115806）pdf.pdf：https://static.uda.cn/pdf/index.html?url=https://static.uda.cn/pdf/report1/GC0115806/SGS1.pdf</t>
  </si>
  <si>
    <t>160</t>
  </si>
  <si>
    <t>PP0115804</t>
  </si>
  <si>
    <t>【香港佳力高检测】PQQ+PS（批号 PP0115804）.pdf：https://static.uda.cn/pdf/index.html?url=https://static.uda.cn/pdf/report1/PP0115804/ccbg1.pdf</t>
  </si>
  <si>
    <t>【SGS 第三方检测】PQQ+PS（批号 PP0115804））.pdf：https://static.uda.cn/pdf/index.html?url=https://static.uda.cn/pdf/report1/PP0115804/dsf1.pdf</t>
  </si>
  <si>
    <t>【SGS 英文报告】PQQ+PS（批号 PP0115804）.pdf：https://static.uda.cn/pdf/index.html?url=https://static.uda.cn/pdf/report1/PP0115804/SGS1.pdf</t>
  </si>
  <si>
    <t>161</t>
  </si>
  <si>
    <t>RLAF0615801</t>
  </si>
  <si>
    <t>【美国出厂检测】硫辛酸（批号 RLAF0615801）——美国 GMP 第二批.pdf：https://static.uda.cn/pdf/index.html?url=https://static.uda.cn/pdf/report1/RLAF0615801/ccbg1.pdf</t>
  </si>
  <si>
    <t>【SGS 第三方检测（含量）】硫辛酸（批号 RLAF0615801）.pdf：https://static.uda.cn/pdf/index.html?url=https://static.uda.cn/pdf/report1/RLAF0615801/dsf1.pdf
【SGS 第三方检测（重金属+微生物+钠含量）】硫辛酸（批号 RLAF0615801）——美国GMP第二批.pdf：https://static.uda.cn/pdf/index.html?url=https://static.uda.cn/pdf/report1/RLAF0615801/dsf2.pdf</t>
  </si>
  <si>
    <t>【SGS 英文报告（重金属+微生物+钠含量）】硫辛酸（批号 RLAF0615801）——美国GMP第二批.pdf：https://static.uda.cn/pdf/index.html?url=https://static.uda.cn/pdf/report1/RLAF0615801/SGS1.pdf
【SGS英文报告（含量）】硫辛酸（批号 RLAF0615801）.pdf：https://static.uda.cn/pdf/index.html?url=https://static.uda.cn/pdf/report1/RLAF0615801/SGS2.pdf</t>
  </si>
  <si>
    <t>162</t>
  </si>
  <si>
    <t>TMG0115804</t>
  </si>
  <si>
    <t>【香港佳力高检测】TMG（批号 TMG0115804）.pdf：https://static.uda.cn/pdf/index.html?url=https://static.uda.cn/pdf/report1/TMG0115804/ccbg1.pdf</t>
  </si>
  <si>
    <t>【SGS 第三方检测】TMG（批号 TMG0115804）.pdf：https://static.uda.cn/pdf/index.html?url=https://static.uda.cn/pdf/report1/TMG0115804/dsf1.pdf</t>
  </si>
  <si>
    <t>【SGS 英文报告】TMG（批号 TMG0115804）.pdf：https://static.uda.cn/pdf/index.html?url=https://static.uda.cn/pdf/report1/TMG0115804/SGS1.pdf</t>
  </si>
  <si>
    <t>163</t>
  </si>
  <si>
    <t>AG0115804</t>
  </si>
  <si>
    <t>【SGS 第三方检测】南非醉茄（批号 AG0115804）.pdf：https://static.uda.cn/pdf/index.html?url=https://static.uda.cn/pdf/report1/AG0115804/dsf1.pdf</t>
  </si>
  <si>
    <t>【SGS 英文报告】南非醉茄（批号 AG0115804）.pdf：https://static.uda.cn/pdf/index.html?url=https://static.uda.cn/pdf/report1/AG0115804/SGS1.pdf</t>
  </si>
  <si>
    <t>164</t>
  </si>
  <si>
    <t>QH0115807</t>
  </si>
  <si>
    <t>【香港佳力高检测】輔酶Q10 (批号 QH0115807) .pdf：https://static.uda.cn/pdf/index.html?url=https://static.uda.cn/pdf/report1/QH0115807/ccbg1.pdf</t>
  </si>
  <si>
    <t>【SGS 第三方检测】辅酶Q10（批号 QH0115807）.pdf：https://static.uda.cn/pdf/index.html?url=https://static.uda.cn/pdf/report1/QH0115807/dsf1.pdf
【SGS 第三方检测（含量）】辅酶Q10（批号 QH0115807）.pdf：https://static.uda.cn/pdf/index.html?url=https://static.uda.cn/pdf/report1/QH0115807/dsf2.pdf</t>
  </si>
  <si>
    <t>【SGS 英文报告】辅酶Q10（批号 QH0115807）.pdf：https://static.uda.cn/pdf/index.html?url=https://static.uda.cn/pdf/report1/QH0115807/SGS1.pdf
【SGS 英文报告（含量）】辅酶Q10（批号 QH0115807）.pdf：https://static.uda.cn/pdf/index.html?url=https://static.uda.cn/pdf/report1/QH0115807/SGS2.pdf</t>
  </si>
  <si>
    <t>165</t>
  </si>
  <si>
    <t>FO0115809</t>
  </si>
  <si>
    <t>【香港佳力高检测】鱼油（批号 FO0115809)  正式報告.pdf：https://static.uda.cn/pdf/index.html?url=https://static.uda.cn/pdf/report1/FO0115809/ccbg1.pdf</t>
  </si>
  <si>
    <t>【SGS 第三方检测（含量-面积法）】鱼油（批号 FO0115809）.pdf：https://static.uda.cn/pdf/index.html?url=https://static.uda.cn/pdf/report1/FO0115809/dsf1.pdf
【SGS 第三方检测（重金属+微生物+稳定性）】鱼油（FO0115809）.pdf：https://static.uda.cn/pdf/index.html?url=https://static.uda.cn/pdf/report1/FO0115809/dsf2.pdf
【SGS 第三方检测（辐射）】鱼油（FO0115809）.pdf：https://static.uda.cn/pdf/index.html?url=https://static.uda.cn/pdf/report1/FO0115809/dsf3.pdf</t>
  </si>
  <si>
    <t>【IFOS 报告】鱼油（批号 FO0115809）.pdf：https://static.uda.cn/pdf/index.html?url=https://static.uda.cn/pdf/report1/FO0115809/IFOS1.pdf
【RTCP 证书】鱼油（批号 FO0115809）.pdf：https://static.uda.cn/pdf/index.html?url=https://static.uda.cn/pdf/report1/FO0115809/IFOS2.pdf</t>
  </si>
  <si>
    <t>【SGS 英文报告（含量-面积法）】鱼油（批号 FO0115809）.pdf：https://static.uda.cn/pdf/index.html?url=https://static.uda.cn/pdf/report1/FO0115809/SGS1.pdf
【SGS 英文报告（重金属+微生物+稳定性）】鱼油（FO0115809）.pdf：https://static.uda.cn/pdf/index.html?url=https://static.uda.cn/pdf/report1/FO0115809/SGS2.pdf
【SGS 英文报告（辐射）】鱼油（FO0115809）.pdf：https://static.uda.cn/pdf/index.html?url=https://static.uda.cn/pdf/report1/FO0115809/SGS3.pdf</t>
  </si>
  <si>
    <t>166</t>
  </si>
  <si>
    <t>LMF0115808</t>
  </si>
  <si>
    <t>【香港佳力高检测】苏糖酸镁大桶装（LMF0115808）.pdf：https://static.uda.cn/pdf/index.html?url=https://static.uda.cn/pdf/report1/LMF0115808/ccbg1.pdf</t>
  </si>
  <si>
    <t>【SGS 第三方检测（镁含量）】苏糖酸镁（批号 LMF0115808）.pdf：https://static.uda.cn/pdf/index.html?url=https://static.uda.cn/pdf/report1/LMF0115808/dsf1.pdf
【SGS 第三方检测（重金属+微生物）】苏糖酸镁（批号 LMF0115808）.pdf：https://static.uda.cn/pdf/index.html?url=https://static.uda.cn/pdf/report1/LMF0115808/dsf2.pdf</t>
  </si>
  <si>
    <t>【SGS 英文报告（重金属+微生物）】苏糖酸镁（批号 LMF0115808）.pdf：https://static.uda.cn/pdf/index.html?url=https://static.uda.cn/pdf/report1/LMF0115808/SGS1.pdf
【SGS 英文报告（镁含量）】苏糖酸镁（批号 LMF0115808）.pdf：https://static.uda.cn/pdf/index.html?url=https://static.uda.cn/pdf/report1/LMF0115808/SGS2.pdf</t>
  </si>
  <si>
    <t>167</t>
  </si>
  <si>
    <t>SI0115804</t>
  </si>
  <si>
    <t>【香港佳力高检测】大豆异黄酮（SI0115804）.pdf：https://static.uda.cn/pdf/index.html?url=https://static.uda.cn/pdf/report1/SI0115804/ccbg1.pdf</t>
  </si>
  <si>
    <t>【SGS 第三方检测】大豆异黄酮（批号 SI0115804）.pdf：https://static.uda.cn/pdf/index.html?url=https://static.uda.cn/pdf/report1/SI0115804/dsf1.pdf</t>
  </si>
  <si>
    <t>【SGS 英文报告】大豆异黄酮（批号 SI0115804）.pdf：https://static.uda.cn/pdf/index.html?url=https://static.uda.cn/pdf/report1/SI0115804/SGS1.pdf</t>
  </si>
  <si>
    <t>168</t>
  </si>
  <si>
    <t>LES0115802</t>
  </si>
  <si>
    <t>【香港佳力高检测】叶黄素（批号 LES0115802）.pdf：https://static.uda.cn/pdf/index.html?url=https://static.uda.cn/pdf/report1/LES0115802/ccbg1.pdf</t>
  </si>
  <si>
    <t>【SGS 第三方检测（重金属+微生物+叶黄素含量）】叶黄素（批号 LES0115802）.pdf：https://static.uda.cn/pdf/index.html?url=https://static.uda.cn/pdf/report1/LES0115802/dsf1.pdf
【SGS 第三方检测报告（玉米黄质含量）】叶黄素（批号 LES0115802）.pdf：https://static.uda.cn/pdf/index.html?url=https://static.uda.cn/pdf/report1/LES0115802/dsf2.pdf</t>
  </si>
  <si>
    <t>【SGS 英文报告（重金属+微生物+叶黄素含量）】叶黄素（批号 LES0115802）.pdf：https://static.uda.cn/pdf/index.html?url=https://static.uda.cn/pdf/report1/LES0115802/SGS1.pdf</t>
  </si>
  <si>
    <t>169</t>
  </si>
  <si>
    <t>护肝</t>
  </si>
  <si>
    <t>LDT0115806</t>
  </si>
  <si>
    <t>【香港佳力高检测】护肝胶囊(LDT0115806) .pdf：https://static.uda.cn/pdf/index.html?url=https://static.uda.cn/pdf/report1/LDT0115806/ccbg1.pdf</t>
  </si>
  <si>
    <t>【SGS 第三方检测（水飞蓟宾含量（营养源）】护肝胶囊（批号 LDT0115806）.pdf：https://static.uda.cn/pdf/index.html?url=https://static.uda.cn/pdf/report1/LDT0115806/dsf1.pdf
【SGS 第三方检测】护肝胶囊（批号 LDT0115806）.pdf：https://static.uda.cn/pdf/index.html?url=https://static.uda.cn/pdf/report1/LDT0115806/dsf2.pdf</t>
  </si>
  <si>
    <t>【SGS 英文报告】护肝胶囊（批号 LDT0115806）.pdf：https://static.uda.cn/pdf/index.html?url=https://static.uda.cn/pdf/report1/LDT0115806/SGS1.pdf</t>
  </si>
  <si>
    <t>170</t>
  </si>
  <si>
    <t>DK钙（澳美）</t>
  </si>
  <si>
    <t>DKC0215801</t>
  </si>
  <si>
    <t>【香港出厂检测】DK钙（批号 DKC0215801）.pdf：https://static.uda.cn/pdf/index.html?url=https://static.uda.cn/pdf/report1/DKC0215801/ccbg1.pdf</t>
  </si>
  <si>
    <t>【SGS 第三方检测（重金属+微生物+D3、钙含量）】DK钙（澳美）（批号 DKC0215801）.pdf：https://static.uda.cn/pdf/index.html?url=https://static.uda.cn/pdf/report1/DKC0215801/dsf1.pdf
【SGS 第三方检测（K2含量）】DK钙（澳美）（批号 DKC0215801）.pdf：https://static.uda.cn/pdf/index.html?url=https://static.uda.cn/pdf/report1/DKC0215801/dsf2.pdf</t>
  </si>
  <si>
    <t>【SGS 英文报告（重金属+微生物+D3、钙含量）】DK钙（澳美）（批号 DKC0215801）.pdf：https://static.uda.cn/pdf/index.html?url=https://static.uda.cn/pdf/report1/DKC0215801/SGS1.pdf
【SGS 英文报告（K2含量）】DK钙（澳美）（批号 DKC0215801）.pdf：https://static.uda.cn/pdf/index.html?url=https://static.uda.cn/pdf/report1/DKC0215801/SGS2.pdf</t>
  </si>
  <si>
    <t>172</t>
  </si>
  <si>
    <t>EG0115808</t>
  </si>
  <si>
    <t>【香港佳力高检测】麦角硫因谷胱甘肽（批号 EG0115808）.pdf：https://static.uda.cn/pdf/index.html?url=https://static.uda.cn/pdf/report1/EG0115808/ccbg1.pdf</t>
  </si>
  <si>
    <t>【SGS 第三方检测（麦角硫因含量）】麦角硫因谷胱甘肽（批号 EG0115808）.pdf：https://static.uda.cn/pdf/index.html?url=https://static.uda.cn/pdf/report1/EG0115808/dsf1.pdf
【SGS 第三方检测（碘含量）】麦角硫因谷胱甘肽（批号 EG0115808）.pdf：https://static.uda.cn/pdf/index.html?url=https://static.uda.cn/pdf/report1/EG0115808/dsf2.pdf
【SGS 第三方检测】麦角硫因谷胱甘肽（批号 EG0115808）.pdf：https://static.uda.cn/pdf/index.html?url=https://static.uda.cn/pdf/report1/EG0115808/dsf3.pdf</t>
  </si>
  <si>
    <t>【SGS 英文报告（麦角硫因含量）】麦角硫因谷胱甘肽（批号 EG0115808）.pdf：https://static.uda.cn/pdf/index.html?url=https://static.uda.cn/pdf/report1/EG0115808/SGS1.pdf
【SGS 英文报告（碘含量）】麦角硫因谷胱甘肽（批号 EG0115808）.pdf：https://static.uda.cn/pdf/index.html?url=https://static.uda.cn/pdf/report1/EG0115808/SGS2.pdf
【SGS 英文报告】麦角硫因谷胱甘肽（批号 EG0115808）.pdf：https://static.uda.cn/pdf/index.html?url=https://static.uda.cn/pdf/report1/EG0115808/SGS3.pdf</t>
  </si>
  <si>
    <t>173</t>
  </si>
  <si>
    <t>AK0115808</t>
  </si>
  <si>
    <t>【香港佳力高出厂检测】AKK (批号 AK0115808) .pdf：https://static.uda.cn/pdf/index.html?url=https://static.uda.cn/pdf/report1/AK0115808/ccbg1.pdf</t>
  </si>
  <si>
    <t>【SGS 第三方检测】AKK（批号 AK0115808）.pdf：https://static.uda.cn/pdf/index.html?url=https://static.uda.cn/pdf/report1/AK0115808/dsf1.pdf</t>
  </si>
  <si>
    <t>【SGS 英文报告】AKK（批号 AK0115808）.pdf：https://static.uda.cn/pdf/index.html?url=https://static.uda.cn/pdf/report1/AK0115808/SGS1.pdf</t>
  </si>
  <si>
    <t>174</t>
  </si>
  <si>
    <t>OPO0115804</t>
  </si>
  <si>
    <t>【香港佳力高出厂检测】牡蛎精（批号 OPO0115804) .pdf：https://static.uda.cn/pdf/index.html?url=https://static.uda.cn/pdf/report1/OPO0115804/ccbg1.pdf</t>
  </si>
  <si>
    <t>【SGS 第三方检测】牡蛎精（批号 OPO0115804）.pdf：https://static.uda.cn/pdf/index.html?url=https://static.uda.cn/pdf/report1/OPO0115804/dsf1.pdf</t>
  </si>
  <si>
    <t>【SGS 英文报告】牡蛎精（批号 OPO0115804）.pdf：https://static.uda.cn/pdf/index.html?url=https://static.uda.cn/pdf/report1/OPO0115804/SGS1.pdf</t>
  </si>
  <si>
    <t>175</t>
  </si>
  <si>
    <t>GC0115807</t>
  </si>
  <si>
    <t>【香港佳力高出厂检测】氨糖软骨素（批号 GC0115807) .pdf：https://static.uda.cn/pdf/index.html?url=https://static.uda.cn/pdf/report1/GC0115807/ccbg1.pdf</t>
  </si>
  <si>
    <t>【SGS 第三方检测】氨糖软骨素（批号 GC0115807）.pdf：https://static.uda.cn/pdf/index.html?url=https://static.uda.cn/pdf/report1/GC0115807/dsf1.pdf</t>
  </si>
  <si>
    <t>【SGS 英文报告】氨糖软骨素（批号 GC0115807）.pdf：https://static.uda.cn/pdf/index.html?url=https://static.uda.cn/pdf/report1/GC0115807/SGS1.pdf</t>
  </si>
  <si>
    <t>176</t>
  </si>
  <si>
    <t>SM0115806</t>
  </si>
  <si>
    <t>【香港佳力高出厂检测】亚精胺（批号 SM0115806) .pdf：https://static.uda.cn/pdf/index.html?url=https://static.uda.cn/pdf/report1/SM0115806/ccbg1.pdf</t>
  </si>
  <si>
    <t>【SGS 第三方检测】亚精胺（批号 SM0115806）.pdf：https://static.uda.cn/pdf/index.html?url=https://static.uda.cn/pdf/report1/SM0115806/dsf1.pdf</t>
  </si>
  <si>
    <t>【SGS 英文报告】亚精胺（批号 SM0115806）.pdf：https://static.uda.cn/pdf/index.html?url=https://static.uda.cn/pdf/report1/SM0115806/SGS1.pdf</t>
  </si>
  <si>
    <t>177</t>
  </si>
  <si>
    <t>PP0115805</t>
  </si>
  <si>
    <t>【香港佳力高出厂检测】PQQ+PS（批号 PP0115805) .pdf：https://static.uda.cn/pdf/index.html?url=https://static.uda.cn/pdf/report1/PP0115805/ccbg1.pdf</t>
  </si>
  <si>
    <t>【SGS 第三方检测】PQQ（批号 PP0115805）.pdf：https://static.uda.cn/pdf/index.html?url=https://static.uda.cn/pdf/report1/PP0115805/dsf1.pdf</t>
  </si>
  <si>
    <t>【SGS 英文报告】PQQ（批号 PP0115805）.pdf：https://static.uda.cn/pdf/index.html?url=https://static.uda.cn/pdf/report1/PP0115805/SGS1.pdf</t>
  </si>
  <si>
    <t>178</t>
  </si>
  <si>
    <t>锯棕榈</t>
  </si>
  <si>
    <t>OS0115803</t>
  </si>
  <si>
    <t>【香港佳力高出厂检测】锯棕榈番茄红素(批号 OS0115803) .pdf：https://static.uda.cn/pdf/index.html?url=https://static.uda.cn/pdf/report1/OS0115803/ccbg1.pdf</t>
  </si>
  <si>
    <t>【SGS 第三方检测】锯棕榈番茄红素（批号 OS0115803）.pdf：https://static.uda.cn/pdf/index.html?url=https://static.uda.cn/pdf/report1/OS0115803/dsf1.pdf
【SGS 第三方检测（番茄红素含量）】锯棕榈番茄红素（批号 OS0115803）.pdf：https://static.uda.cn/pdf/index.html?url=https://static.uda.cn/pdf/report1/OS0115803/dsf2.pdf</t>
  </si>
  <si>
    <t>【SGS 英文报告】锯棕榈番茄红素（批号 OS0115803）.pdf：https://static.uda.cn/pdf/index.html?url=https://static.uda.cn/pdf/report1/OS0115803/SGS1.pdf
【SGS 英文报告（番茄红素含量）】锯棕榈番茄红素（批号 OS0115803）.pdf：https://static.uda.cn/pdf/index.html?url=https://static.uda.cn/pdf/report1/OS0115803/SGS2.pdf</t>
  </si>
  <si>
    <t>179</t>
  </si>
  <si>
    <t>【香港佳力高出厂检测】AKG（批号 AKG0115803).pdf：https://static.uda.cn/pdf/index.html?url=https://static.uda.cn/pdf/report1/AKG0115803/ccbg1.pdf</t>
  </si>
  <si>
    <t>【SGS 第三方检测】AKG（批号 AKG0115803）.pdf：https://static.uda.cn/pdf/index.html?url=https://static.uda.cn/pdf/report1/AKG0115803/dsf1.pdf</t>
  </si>
  <si>
    <t>【SGS 英文报告】AKG（批号 AKG0115803）.pdf：https://static.uda.cn/pdf/index.html?url=https://static.uda.cn/pdf/report1/AKG0115803/SGS1.pdf</t>
  </si>
  <si>
    <t>180</t>
  </si>
  <si>
    <t>UC0115807</t>
  </si>
  <si>
    <t>【香港佳力高出厂检测】姜黄素（批号 UC0115807) .pdf：https://static.uda.cn/pdf/index.html?url=https://static.uda.cn/pdf/report1/UC0115807/ccbg1.pdf</t>
  </si>
  <si>
    <t>【SGS 第三方检测】姜黄素（批号 UC0115807）.pdf：https://static.uda.cn/pdf/index.html?url=https://static.uda.cn/pdf/report1/UC0115807/dsf1.pdf
【SGS 第三方检测（姜黄素含量）】姜黄素（批号 UC0115807）.pdf：https://static.uda.cn/pdf/index.html?url=https://static.uda.cn/pdf/report1/UC0115807/dsf2.pdf</t>
  </si>
  <si>
    <t>【SGS 英文报告】姜黄素（批号 UC0115807）.pdf：https://static.uda.cn/pdf/index.html?url=https://static.uda.cn/pdf/report1/UC0115807/SGS1.pdf
【SGS 英文报告（姜黄素含量）】姜黄素（批号 UC0115807）.pdf：https://static.uda.cn/pdf/index.html?url=https://static.uda.cn/pdf/report1/UC0115807/SGS2.pdf</t>
  </si>
  <si>
    <t>181</t>
  </si>
  <si>
    <t>WV0615804</t>
  </si>
  <si>
    <t>【美国出厂检测】女维（批号 WV0615804）.pdf：https://static.uda.cn/pdf/index.html?url=https://static.uda.cn/pdf/report1/WV0615804/ccbg1.pdf</t>
  </si>
  <si>
    <t>【SGS 第三方检测（维矿含量）】女维（批号 WV0615804）.pdf：https://static.uda.cn/pdf/index.html?url=https://static.uda.cn/pdf/report1/WV0615804/dsf1.pdf
【SGS 第三方检测（重金属+微生物）】女维（批号 WV0615804）.pdf：https://static.uda.cn/pdf/index.html?url=https://static.uda.cn/pdf/report1/WV0615804/dsf2.pdf
【SGS 第三方检测（B2、B6含量）】女维（批号 WV0615804）.pdf：https://static.uda.cn/pdf/index.html?url=https://static.uda.cn/pdf/report1/WV0615804/dsf3.pdf</t>
  </si>
  <si>
    <t>【SGS 英文报告（维矿含量）】女维（批号 WV0615804）.pdf：https://static.uda.cn/pdf/index.html?url=https://static.uda.cn/pdf/report1/WV0615804/SGS1.pdf
【SGS 英文报告（重金属+微生物）】女维（批号 WV0615804）.pdf：https://static.uda.cn/pdf/index.html?url=https://static.uda.cn/pdf/report1/WV0615804/SGS2.pdf
【SGS 英文报告（B2、B6含量）】女维（批号 WV0615804）.pdf：https://static.uda.cn/pdf/index.html?url=https://static.uda.cn/pdf/report1/WV0615804/SGS3.pdf</t>
  </si>
  <si>
    <t>182</t>
  </si>
  <si>
    <t>MV0615804</t>
  </si>
  <si>
    <t>【美国出厂检测】男维（批号 MV0615804）.pdf：https://static.uda.cn/pdf/index.html?url=https://static.uda.cn/pdf/report1/MV0615804/ccbg1.pdf</t>
  </si>
  <si>
    <t>【SGS 第三方检测（维矿含量）】男维（批号 MV0615804）.pdf：https://static.uda.cn/pdf/index.html?url=https://static.uda.cn/pdf/report1/MV0615804/dsf1.pdf
【SGS 第三方检测（重金属+微生物）】男维（批号 MV0615804）.pdf：https://static.uda.cn/pdf/index.html?url=https://static.uda.cn/pdf/report1/MV0615804/dsf2.pdf
【SGS 第三方检测（B2、B6含量）】男维（批号 MV0615804）.pdf：https://static.uda.cn/pdf/index.html?url=https://static.uda.cn/pdf/report1/MV0615804/dsf3.pdf</t>
  </si>
  <si>
    <t>【SGS 英文报尬（B2、B6含量）】男维（批号 MV0615804）.pdf：https://static.uda.cn/pdf/index.html?url=https://static.uda.cn/pdf/report1/MV0615804/SGS1.pdf
【SGS 英文报告（维矿含量）】男维（批号 MV0615804）.pdf：https://static.uda.cn/pdf/index.html?url=https://static.uda.cn/pdf/report1/MV0615804/SGS2.pdf
【SGS 英文报告（重金属+微生物）】男维（批号 MV0615804）.pdf：https://static.uda.cn/pdf/index.html?url=https://static.uda.cn/pdf/report1/MV0615804/SGS3.pdf</t>
  </si>
  <si>
    <t>183</t>
  </si>
  <si>
    <t>【香港佳力高出厂检测】NMN（批号 NMNH0115804）.pdf：https://static.uda.cn/pdf/index.html?url=https://static.uda.cn/pdf/report1/NMNH0115804/ccbg1.pdf</t>
  </si>
  <si>
    <t>【SGS 第三方检测】NMN（批号 NMNH0115804）.pdf：https://static.uda.cn/pdf/index.html?url=https://static.uda.cn/pdf/report1/NMNH0115804/dsf1.pdf</t>
  </si>
  <si>
    <t>【SGS 英文报告】NMN（批号 NMNH0115804）.pdf：https://static.uda.cn/pdf/index.html?url=https://static.uda.cn/pdf/report1/NMNH0115804/SGS1.pdf</t>
  </si>
  <si>
    <t>184</t>
  </si>
  <si>
    <t>EG0115809</t>
  </si>
  <si>
    <t>【香港佳力高检测】麦角硫因谷胱甘肽（批号 EG0115809）.pdf：https://static.uda.cn/pdf/index.html?url=https://static.uda.cn/pdf/report1/EG0115809/ccbg1.pdf</t>
  </si>
  <si>
    <t>【SGS 第三方检测】麦角硫因谷胱甘肽（批号 EG0115809）.pdf：https://static.uda.cn/pdf/index.html?url=https://static.uda.cn/pdf/report1/EG0115809/dsf1.pdf
【SGS 第三方检测（麦角硫因含量）】麦角硫因谷胱甘肽（批号 EG0115809）.pdf：https://static.uda.cn/pdf/index.html?url=https://static.uda.cn/pdf/report1/EG0115809/dsf2.pdf</t>
  </si>
  <si>
    <t>【SGS 英文报告】麦角硫因谷胱甘肽（批号 EG0115809）.pdf：https://static.uda.cn/pdf/index.html?url=https://static.uda.cn/pdf/report1/EG0115809/SGS1.pdf
【SGS 英文报告（麦角硫因含量）】麦角硫因谷胱甘肽（批号 EG0115809）.pdf：https://static.uda.cn/pdf/index.html?url=https://static.uda.cn/pdf/report1/EG0115809/SGS2.pdf</t>
  </si>
  <si>
    <t>185</t>
  </si>
  <si>
    <t>TMG0115805</t>
  </si>
  <si>
    <t>【香港佳力高出厂检测】TMG（批号 TMG0115805）.pdf：https://static.uda.cn/pdf/index.html?url=https://static.uda.cn/pdf/report1/TMG0115805/ccbg1.pdf</t>
  </si>
  <si>
    <t>【SGS 第三方检测】TMG（批号 TMG0115805）.pdf：https://static.uda.cn/pdf/index.html?url=https://static.uda.cn/pdf/report1/TMG0115805/dsf1.pdf</t>
  </si>
  <si>
    <t>【SGS 英文报告】TMG（批号 TMG0115805）.pdf：https://static.uda.cn/pdf/index.html?url=https://static.uda.cn/pdf/report1/TMG0115805/SGS1.pdf</t>
  </si>
  <si>
    <t>186</t>
  </si>
  <si>
    <t>QC0115805</t>
  </si>
  <si>
    <t>【香港佳力高出厂检测】槲皮素（批号 QC0115805）.pdf：https://static.uda.cn/pdf/index.html?url=https://static.uda.cn/pdf/report1/QC0115805/ccbg1.pdf</t>
  </si>
  <si>
    <t>【SGS 第三方检测】槲皮素（批号 QC0115805）.pdf：https://static.uda.cn/pdf/index.html?url=https://static.uda.cn/pdf/report1/QC0115805/dsf1.pdf</t>
  </si>
  <si>
    <t>【SGS 英文报告】槲皮素（批号 QC0115805）.pdf：https://static.uda.cn/pdf/index.html?url=https://static.uda.cn/pdf/report1/QC0115805/SGS1.pdf</t>
  </si>
  <si>
    <t>187</t>
  </si>
  <si>
    <t>AK0115809</t>
  </si>
  <si>
    <t>【香港佳力高出厂检测】AKK（批号 AK0115809）.pdf：https://static.uda.cn/pdf/index.html?url=https://static.uda.cn/pdf/report1/AK0115809/ccbg1.pdf</t>
  </si>
  <si>
    <t>【SGS 第三方检测】AKK（批号 AK0115809）.pdf：https://static.uda.cn/pdf/index.html?url=https://static.uda.cn/pdf/report1/AK0115809/dsf1.pdf</t>
  </si>
  <si>
    <t>【SGS 英文报告】AKK（批号 AK0115809）.pdf：https://static.uda.cn/pdf/index.html?url=https://static.uda.cn/pdf/report1/AK0115809/SGS1.pdf</t>
  </si>
  <si>
    <t>188</t>
  </si>
  <si>
    <t>NK0115803</t>
  </si>
  <si>
    <t>【香港佳力高出厂检测】纳豆激酶（批号 NK0115803）.pdf：https://static.uda.cn/pdf/index.html?url=https://static.uda.cn/pdf/report1/NK0115803/ccbg1.pdf</t>
  </si>
  <si>
    <t>【SGS 第三方检测】纳豆激酶（批号 NK0115803）.pdf：https://static.uda.cn/pdf/index.html?url=https://static.uda.cn/pdf/report1/NK0115803/dsf1.pdf</t>
  </si>
  <si>
    <t>【SGS 英文报告】纳豆激酶（批号 NK0115803）.pdf：https://static.uda.cn/pdf/index.html?url=https://static.uda.cn/pdf/report1/NK0115803/SGS1.pdf</t>
  </si>
  <si>
    <t>189</t>
  </si>
  <si>
    <t>AG0115805</t>
  </si>
  <si>
    <t>【香港佳力高出厂检测】南非醉茄（批号 AG0115805）.pdf：https://static.uda.cn/pdf/index.html?url=https://static.uda.cn/pdf/report1/AG0115805/ccbg1.pdf</t>
  </si>
  <si>
    <t>【SGS 第三方检测】南非醉茄（批号 AG0115805）.pdf：https://static.uda.cn/pdf/index.html?url=https://static.uda.cn/pdf/report1/AG0115805/dsf1.pdf</t>
  </si>
  <si>
    <t>【SGS 英文报告】南非醉茄（批号 AG0115805）.pdf：https://static.uda.cn/pdf/index.html?url=https://static.uda.cn/pdf/report1/AG0115805/SGS1.pdf</t>
  </si>
  <si>
    <t>190</t>
  </si>
  <si>
    <t>OPO0115805</t>
  </si>
  <si>
    <t>【香港佳力高出厂检测】牡蛎精（批号 OPO0115805）.pdf：https://static.uda.cn/pdf/index.html?url=https://static.uda.cn/pdf/report1/OPO0115805/ccbg1.pdf</t>
  </si>
  <si>
    <t>【SGS 第三方检测】牡蛎精（批号 OPO0115805）.pdf：https://static.uda.cn/pdf/index.html?url=https://static.uda.cn/pdf/report1/OPO0115805/dsf1.pdf</t>
  </si>
  <si>
    <t>【SGS 英文报告】牡蛎精（批号 OPO0115805）.pdf：https://static.uda.cn/pdf/index.html?url=https://static.uda.cn/pdf/report1/OPO0115805/SGS1.pdf</t>
  </si>
  <si>
    <t>191</t>
  </si>
  <si>
    <t>【香港佳力高出厂检测】虾青素（批号 AZ0115802）.pdf：https://static.uda.cn/pdf/index.html?url=https://static.uda.cn/pdf/report1/AZ0115802/ccbg1.pdf</t>
  </si>
  <si>
    <t>【SGS 第三方检测（重金属+微生物+维生素E含量+碘含量）】虾青素（批号 AZ0115802）.pdf：https://static.uda.cn/pdf/index.html?url=https://static.uda.cn/pdf/report1/AZ0115802/dsf1.pdf
【SGS第三方检测（含量）】虾青素（批号AZ0115802）.pdf：https://static.uda.cn/pdf/index.html?url=https://static.uda.cn/pdf/report1/AZ0115802/dsf2.pdf</t>
  </si>
  <si>
    <t>【SGS 英文报告（重金属+微生物+维生素E含量+碘含量）】虾青素（批号 AZ0115802）.pdf：https://static.uda.cn/pdf/index.html?url=https://static.uda.cn/pdf/report1/AZ0115802/SGS1.pdf
【SGS英文报告（含量）】虾青素（批号AZ0115802）.pdf：https://static.uda.cn/pdf/index.html?url=https://static.uda.cn/pdf/report1/AZ0115802/SGS2.pdf</t>
  </si>
  <si>
    <t>192</t>
  </si>
  <si>
    <t>【出厂检测】硫辛酸（批号 RLAF0615802).pdf：https://static.uda.cn/pdf/index.html?url=https://static.uda.cn/pdf/report1/RLAF0615802/ccbg1.pdf</t>
  </si>
  <si>
    <t>【SGS第三方检测（含量）】硫辛酸（批号 RLAF0615802).pdf：https://static.uda.cn/pdf/index.html?url=https://static.uda.cn/pdf/report1/RLAF0615802/dsf1.pdf
【SGS第三方检测（重金属+微生物+钠含量）】硫辛酸（批号 RLAF0615802).pdf：https://static.uda.cn/pdf/index.html?url=https://static.uda.cn/pdf/report1/RLAF0615802/dsf2.pdf</t>
  </si>
  <si>
    <t>【SGS英文报告（含量）】硫辛酸（批号 RLAF0615802).pdf：https://static.uda.cn/pdf/index.html?url=https://static.uda.cn/pdf/report1/RLAF0615802/SGS1.pdf
【SGS英文报告（重金属+微生物+钠含量）】硫辛酸（批号 RLAF0615802).pdf：https://static.uda.cn/pdf/index.html?url=https://static.uda.cn/pdf/report1/RLAF0615802/SGS2.pdf</t>
  </si>
  <si>
    <t>193</t>
  </si>
  <si>
    <t>LMF0115809</t>
  </si>
  <si>
    <t>【香港佳力高出厂检测】苏糖酸镁（批号LMF0115809）.pdf：https://static.uda.cn/pdf/index.html?url=https://static.uda.cn/pdf/report1/LMF0115809/ccbg1.pdf</t>
  </si>
  <si>
    <t>【SGS 第三方检测（重金属+微生物+镁含量）】苏糖酸镁（批号 LMF0115809）.pdf：https://static.uda.cn/pdf/index.html?url=https://static.uda.cn/pdf/report1/LMF0115809/dsf1.pdf</t>
  </si>
  <si>
    <t>【SGS 英文报告（重金属+微生物+镁含量）】苏糖酸镁（批号 LMF0115809）.pdf：https://static.uda.cn/pdf/index.html?url=https://static.uda.cn/pdf/report1/LMF0115809/SGS1.pdf</t>
  </si>
  <si>
    <t>194</t>
  </si>
  <si>
    <t>【香港佳力高出厂检测】小檗碱（批号BB0115802）.pdf：https://static.uda.cn/pdf/index.html?url=https://static.uda.cn/pdf/report1/BB0115802/ccbg1.pdf</t>
  </si>
  <si>
    <t>【SGS 第三方检测（重金属+微生物）】小檗碱（批号 BB0115802）.pdf：https://static.uda.cn/pdf/index.html?url=https://static.uda.cn/pdf/report1/BB0115802/dsf1.pdf</t>
  </si>
  <si>
    <t>【SGS 英文报告】小檗碱（批号 BB0115802）.pdf：https://static.uda.cn/pdf/index.html?url=https://static.uda.cn/pdf/report1/BB0115802/SGS1.pdf</t>
  </si>
  <si>
    <t>195</t>
  </si>
  <si>
    <t>【出厂检测（环氧乙烷）】褪黑素（批号 KJOK2501）.pdf：https://static.uda.cn/pdf/index.html?url=https://static.uda.cn/pdf/report1/KJOK2501/ccbg1.pdf
【出厂检测】褪黑素（批号 KJOK2501）.pdf：https://static.uda.cn/pdf/index.html?url=https://static.uda.cn/pdf/report1/KJOK2501/ccbg2.pdf</t>
  </si>
  <si>
    <t>【SGS第三方检测（微生物+重金属+含量）】褪黑素（批号KJOK2501）.pdf：https://static.uda.cn/pdf/index.html?url=https://static.uda.cn/pdf/report1/KJOK2501/dsf1.pdf</t>
  </si>
  <si>
    <t>【SGS英文报告（微生物+重金属+含量）】褪黑素（批号KJOK2501）.pdf：https://static.uda.cn/pdf/index.html?url=https://static.uda.cn/pdf/report1/KJOK2501/SGS1.pdf</t>
  </si>
  <si>
    <t>COA-减龄口溶膜.pdf：https://static.uda.cn/pdf/index.html?url=https://static.uda.cn/pdf/report1/KJOK2501/COA1.pdf</t>
  </si>
  <si>
    <t>196</t>
  </si>
  <si>
    <t>SM0115807</t>
  </si>
  <si>
    <t>【香港佳力高出厂检测】亚精胺（批号SM0115807）.pdf：https://static.uda.cn/pdf/index.html?url=https://static.uda.cn/pdf/report1/SM0115807/ccbg1.pdf</t>
  </si>
  <si>
    <t>【SGS第三方检测（微生物+重金属+含量）】亚精胺（批号SM0115807）.pdf：https://static.uda.cn/pdf/index.html?url=https://static.uda.cn/pdf/report1/SM0115807/dsf1.pdf</t>
  </si>
  <si>
    <t>【SGS英文报告（微生物+重金属+含量）】亚精胺（批号SM0115807）.pdf：https://static.uda.cn/pdf/index.html?url=https://static.uda.cn/pdf/report1/SM0115807/SGS1.pdf</t>
  </si>
  <si>
    <t>197</t>
  </si>
  <si>
    <t>FO0115810</t>
  </si>
  <si>
    <t>【香港佳力高出厂检测】鱼油（批号 FO0115810）.pdf：https://static.uda.cn/pdf/index.html?url=https://static.uda.cn/pdf/report1/FO0115810/ccbg1.pdf</t>
  </si>
  <si>
    <t>【SGS 第三方检测（重金属+微生物+稳定性）】鱼油（批号 FO0115810）.pdf：https://static.uda.cn/pdf/index.html?url=https://static.uda.cn/pdf/report1/FO0115810/dsf1.pdf
【SGS 第三方检测（含量-面积法）】鱼油（批号 FO0115810）.pdf：https://static.uda.cn/pdf/index.html?url=https://static.uda.cn/pdf/report1/FO0115810/dsf2.pdf
【SGS 第三方检测（邻苯）】鱼油（批号 FO0115810）.pdf：https://static.uda.cn/pdf/index.html?url=https://static.uda.cn/pdf/report1/FO0115810/dsf3.pdf
【SGS 第三方检测（辐射）】鱼油（批号 FO0115810）.pdf：https://static.uda.cn/pdf/index.html?url=https://static.uda.cn/pdf/report1/FO0115810/dsf4.pdf
【SGS 第三方检测（氯丙醇）】鱼油（批号 FO0115810）.pdf：https://static.uda.cn/pdf/index.html?url=https://static.uda.cn/pdf/report1/FO0115810/dsf5.pdf</t>
  </si>
  <si>
    <t>【IFOS 报告】鱼油（批号 FO0115810）.pdf：https://static.uda.cn/pdf/index.html?url=https://static.uda.cn/pdf/report1/FO0115810/IFOS1.pdf
【RTCP 证书】鱼油（批号FO0115810）pdf.pdf：https://static.uda.cn/pdf/index.html?url=https://static.uda.cn/pdf/report1/FO0115810/IFOS2.pdf</t>
  </si>
  <si>
    <t>【SGS 英文报告（重金属+微生物+稳定性）】鱼油（批号 FO0115810）.pdf：https://static.uda.cn/pdf/index.html?url=https://static.uda.cn/pdf/report1/FO0115810/SGS1.pdf
【SGS 英文报告（含量-面积法）】鱼油（批号 FO0115810）.pdf：https://static.uda.cn/pdf/index.html?url=https://static.uda.cn/pdf/report1/FO0115810/SGS2.pdf
【SGS 英文报告（邻苯）】鱼油（批号 FO0115810）.pdf：https://static.uda.cn/pdf/index.html?url=https://static.uda.cn/pdf/report1/FO0115810/SGS3.pdf
【SGS 英文报告（辐射）】鱼油（批号 FO0115810）.pdf：https://static.uda.cn/pdf/index.html?url=https://static.uda.cn/pdf/report1/FO0115810/SGS4.pdf
【SGS 英文报告（氯丙醇）】鱼油（批号 FO0115810）.pdf：https://static.uda.cn/pdf/index.html?url=https://static.uda.cn/pdf/report1/FO0115810/SGS5.pdf</t>
  </si>
  <si>
    <t>198</t>
  </si>
  <si>
    <t>还原型辅酶 Q10</t>
  </si>
  <si>
    <t>QH0115808</t>
  </si>
  <si>
    <t>【香港佳力高出厂检测】辅酶Q10（批号QH0115808）.pdf：https://static.uda.cn/pdf/index.html?url=https://static.uda.cn/pdf/report1/QH0115808/ccbg1.pdf</t>
  </si>
  <si>
    <t>【SGS第三方检测（重金属+微生物）】辅酶Q10（批号QH0115808）.pdf：https://static.uda.cn/pdf/index.html?url=https://static.uda.cn/pdf/report1/QH0115808/dsf1.pdf
【SGS第三方检测（含量）】辅酶Q10（批号QH0115808）.pdf：https://static.uda.cn/pdf/index.html?url=https://static.uda.cn/pdf/report1/QH0115808/dsf2.pdf</t>
  </si>
  <si>
    <t>【SGS英文报告（重金属+微生物）】辅酶Q10（批号QH0115808）.pdf：https://static.uda.cn/pdf/index.html?url=https://static.uda.cn/pdf/report1/QH0115808/SGS1.pdf
【SGS英文报告（含量）】辅酶Q10（批号QH0115808）.pdf：https://static.uda.cn/pdf/index.html?url=https://static.uda.cn/pdf/report1/QH0115808/SGS2.pdf</t>
  </si>
  <si>
    <t>199</t>
  </si>
  <si>
    <t>LES0115803</t>
  </si>
  <si>
    <t>【香港佳力高出厂检测】叶黄素（批号LES0115803）.pdf：https://static.uda.cn/pdf/index.html?url=https://static.uda.cn/pdf/report1/LES0115803/ccbg1.pdf</t>
  </si>
  <si>
    <t>【SGS第三方检测（微生物+重金属+叶黄素含量）】叶黄素（批号LES0115803）.pdf：https://static.uda.cn/pdf/index.html?url=https://static.uda.cn/pdf/report1/LES0115803/dsf1.pdf
【SGS第三方检测（玉米黄质含量）】叶黄素（批号LES0115803）.pdf：https://static.uda.cn/pdf/index.html?url=https://static.uda.cn/pdf/report1/LES0115803/dsf2.pdf</t>
  </si>
  <si>
    <t>【SGS英文报告（微生物+重金属+叶黄素含量）】叶黄素（批号LES0115803）.pdf：https://static.uda.cn/pdf/index.html?url=https://static.uda.cn/pdf/report1/LES0115803/SGS1.pdf</t>
  </si>
  <si>
    <t>200</t>
  </si>
  <si>
    <t>UC0115808</t>
  </si>
  <si>
    <t>【香港佳力高出厂检测】姜黄素（批号UC0115808）.pdf：https://static.uda.cn/pdf/index.html?url=https://static.uda.cn/pdf/report1/UC0115808/ccbg1.pdf</t>
  </si>
  <si>
    <t>【SGS第三方检测（重金属+微生物）】姜黄素（批号UC0115808）.pdf：https://static.uda.cn/pdf/index.html?url=https://static.uda.cn/pdf/report1/UC0115808/dsf1.pdf
【SGS第三方检测（姜黄素含量）】姜黄素（批号UC0115808）.pdf：https://static.uda.cn/pdf/index.html?url=https://static.uda.cn/pdf/report1/UC0115808/dsf2.pdf</t>
  </si>
  <si>
    <t>【SGS英文报告（重金属+微生物）】姜黄素（批号UC0115808）.pdf：https://static.uda.cn/pdf/index.html?url=https://static.uda.cn/pdf/report1/UC0115808/SGS1.pdf
【SGS英文报告（姜黄素含量）】姜黄素（批号UC0115808）.pdf：https://static.uda.cn/pdf/index.html?url=https://static.uda.cn/pdf/report1/UC0115808/SGS2.pdf</t>
  </si>
  <si>
    <t>201</t>
  </si>
  <si>
    <t>维生素 D3 软胶囊</t>
  </si>
  <si>
    <t>SB018491</t>
  </si>
  <si>
    <t>【出厂报告】维生素D3软胶囊（批号SB018491）.pdf：https://static.uda.cn/pdf/index.html?url=https://static.uda.cn/pdf/report1/SB018491/ccbg1.pdf</t>
  </si>
  <si>
    <t>【SGS第三方检测（重金属+微生物+含量）】维生素D3软胶囊（批号SB018491）.pdf：https://static.uda.cn/pdf/index.html?url=https://static.uda.cn/pdf/report1/SB018491/dsf1.pdf</t>
  </si>
  <si>
    <t>【SGS英文报告（重金属+微生物+含量）】维生素D3软胶囊（批号SB018491）.pdf：https://static.uda.cn/pdf/index.html?url=https://static.uda.cn/pdf/report1/SB018491/SGS1.pdf</t>
  </si>
  <si>
    <t>202</t>
  </si>
  <si>
    <t>LDT0115807</t>
  </si>
  <si>
    <t>【香港佳力高出厂报告】护肝胶囊（批号LDT0115807）.pdf：https://static.uda.cn/pdf/index.html?url=https://static.uda.cn/pdf/report1/LDT0115807/ccbg1.pdf</t>
  </si>
  <si>
    <t>【SGS第三方检测（重金属+微生物）】护肝胶囊（批号LDT0115807）.pdf：https://static.uda.cn/pdf/index.html?url=https://static.uda.cn/pdf/report1/LDT0115807/dsf1.pdf
【SGS第三方检测（水飞蓟宾含量）】护肝胶囊（批号LDT0115807）.pdf：https://static.uda.cn/pdf/index.html?url=https://static.uda.cn/pdf/report1/LDT0115807/dsf2.pdf</t>
  </si>
  <si>
    <t>【SGS英文报告（重金属+微生物）】护肝胶囊（批号LDT0115807）.pdf：https://static.uda.cn/pdf/index.html?url=https://static.uda.cn/pdf/report1/LDT0115807/SGS1.pdf
【SGS英文报告（水飞蓟宾含量）】护肝胶囊（批号LDT0115807）.pdf：https://static.uda.cn/pdf/index.html?url=https://static.uda.cn/pdf/report1/LDT0115807/SGS2.pdf</t>
  </si>
  <si>
    <t>203</t>
  </si>
  <si>
    <t>DKC1015801</t>
  </si>
  <si>
    <t>【出厂报告】维生素D3K2钙（批号DKC1015801）.pdf：https://static.uda.cn/pdf/index.html?url=https://static.uda.cn/pdf/report1/DKC1015801/ccbg1.pdf</t>
  </si>
  <si>
    <t>【SGS第三方检测（微生物+重金属+含量）】维生素D3K2钙（批号 DKC1015801）.pdf：https://static.uda.cn/pdf/index.html?url=https://static.uda.cn/pdf/report1/DKC1015801/dsf1.pdf
【SGS第三方检测（K2含量）】维生素D3K2钙（批号 DKC1015801）.pdf：https://static.uda.cn/pdf/index.html?url=https://static.uda.cn/pdf/report1/DKC1015801/dsf2.pdf</t>
  </si>
  <si>
    <t>【SGS英文报告（微生物+重金属+含量）】维生素D3K2钙（批号 DKC1015801）.pdf：https://static.uda.cn/pdf/index.html?url=https://static.uda.cn/pdf/report1/DKC1015801/SGS1.pdf
【SGS英文报告（K2含量）】维生素D3K2钙（批号 DKC1015801）.pdf：https://static.uda.cn/pdf/index.html?url=https://static.uda.cn/pdf/report1/DKC1015801/SGS2.pdf</t>
  </si>
  <si>
    <t>204</t>
  </si>
  <si>
    <t>AK0115810</t>
  </si>
  <si>
    <t>【香港佳力高出厂检测】AKK（批号 AK0115810）.pdf：https://static.uda.cn/pdf/index.html?url=https://static.uda.cn/pdf/report1/AK0115810/ccbg1.pdf</t>
  </si>
  <si>
    <t>【SGS第三方检测】AKK（批号 AK0115810）.pdf：https://static.uda.cn/pdf/index.html?url=https://static.uda.cn/pdf/report1/AK0115810/dsf1.pdf</t>
  </si>
  <si>
    <t>【SGS英文报告】AKK（批号 AK0115810）.pdf：https://static.uda.cn/pdf/index.html?url=https://static.uda.cn/pdf/report1/AK0115810/SGS1.pdf</t>
  </si>
  <si>
    <t>205</t>
  </si>
  <si>
    <t>【香港佳力高出厂报告】氨糖软骨素（批号GC0115808）.pdf：https://static.uda.cn/pdf/index.html?url=https://static.uda.cn/pdf/report1/GC0115808/ccbg1.pdf</t>
  </si>
  <si>
    <t>【SGS第三方检测（重金属+微生物）】氨糖软骨素（批号GC0115808）.pdf：https://static.uda.cn/pdf/index.html?url=https://static.uda.cn/pdf/report1/GC0115808/dsf1.pdf
【SGS 第三方检测（MSM 含量）】氨糖软骨素（批号 GC0115808）.pdf：https://static.uda.cn/pdf/index.html?url=https://static.uda.cn/pdf/report1/GC0115808/dsf2.pdf</t>
  </si>
  <si>
    <t>【SGS英文报告（重金属+微生物）】氨糖软骨素（批号GC0115808）.pdf：https://static.uda.cn/pdf/index.html?url=https://static.uda.cn/pdf/report1/GC0115808/SGS1.pdf
【SGS 英文报告（MSM 含量）】氨糖软骨素（批号 GC0115808）.pdf：https://static.uda.cn/pdf/index.html?url=https://static.uda.cn/pdf/report1/GC0115808/SGS2.pdf</t>
  </si>
  <si>
    <t>206</t>
  </si>
  <si>
    <t>【香港佳力高出厂检测】苏糖酸镁（批号 LMF0115810）.pdf：https://static.uda.cn/pdf/index.html?url=https://static.uda.cn/pdf/report1/LMF0115810/ccbg1.pdf</t>
  </si>
  <si>
    <t>【SGS第三方检测（重金属+微生物+镁含量）】苏糖酸镁（批号 LMF0115810）.pdf：https://static.uda.cn/pdf/index.html?url=https://static.uda.cn/pdf/report1/LMF0115810/dsf1.pdf</t>
  </si>
  <si>
    <t>【SGS英文报告（重金属+微生物+镁含量）】苏糖酸镁（批号 LMF0115810）.pdf：https://static.uda.cn/pdf/index.html?url=https://static.uda.cn/pdf/report1/LMF0115810/SGS1.pdf</t>
  </si>
  <si>
    <t>207</t>
  </si>
  <si>
    <t>【香港佳力高出厂检测】大豆异黄酮（批号 SI0115805）.pdf：https://static.uda.cn/pdf/index.html?url=https://static.uda.cn/pdf/report1/SI0115805/ccbg1.pdf</t>
  </si>
  <si>
    <t>【SGS第三方检测（重金属+微生物）】大豆异黄酮（批号 SI0115805）.pdf：https://static.uda.cn/pdf/index.html?url=https://static.uda.cn/pdf/report1/SI0115805/dsf1.pdf
【SGS第三方检测（大豆异黄酮含量）】大豆异黄酮（批号 SI0115805）.pdf：https://static.uda.cn/pdf/index.html?url=https://static.uda.cn/pdf/report1/SI0115805/dsf2.pdf</t>
  </si>
  <si>
    <t>【SGS英文报告（重金属+微生物）】大豆异黄酮（批号 SI0115805）.pdf：https://static.uda.cn/pdf/index.html?url=https://static.uda.cn/pdf/report1/SI0115805/SGS1.pdf
【SGS英文报告（大豆异黄酮含量）】大豆异黄酮（批号 SI0115805）.pdf：https://static.uda.cn/pdf/index.html?url=https://static.uda.cn/pdf/report1/SI0115805/SGS2.pdf</t>
  </si>
  <si>
    <t>208</t>
  </si>
  <si>
    <t>EG0115810</t>
  </si>
  <si>
    <t>【香港佳力高出厂检测】麦角硫因谷胱甘肽（批号 EG0115810）.pdf：https://static.uda.cn/pdf/index.html?url=https://static.uda.cn/pdf/report1/EG0115810/ccbg1.pdf</t>
  </si>
  <si>
    <t>【SGS第三方检测（重金属+微生物）】麦角硫因谷胱甘肽（批号EG0115810）.pdf：https://static.uda.cn/pdf/index.html?url=https://static.uda.cn/pdf/report1/EG0115810/dsf1.pdf
【SGS第三方检测（麦角硫因含量）】麦角硫因谷胱甘肽（批号EG0115810）.pdf：https://static.uda.cn/pdf/index.html?url=https://static.uda.cn/pdf/report1/EG0115810/dsf2.pdf</t>
  </si>
  <si>
    <t>【SGS英文报告（重金属+微生物）】麦角硫因谷胱甘肽（批号EG0115810）.pdf：https://static.uda.cn/pdf/index.html?url=https://static.uda.cn/pdf/report1/EG0115810/SGS1.pdf
【SGS英文报告（麦角硫因含量）】麦角硫因谷胱甘肽（批号EG0115810）.pdf：https://static.uda.cn/pdf/index.html?url=https://static.uda.cn/pdf/report1/EG0115810/SGS2.pdf</t>
  </si>
  <si>
    <t>209</t>
  </si>
  <si>
    <t>【香港佳力高出厂检测】槲皮素（批号 QC0115806）.pdf：https://static.uda.cn/pdf/index.html?url=https://static.uda.cn/pdf/report1/QC0115806/ccbg1.pdf</t>
  </si>
  <si>
    <t>【SGS第三方检测（重金属+微生物）】槲皮素（批号 QC0115806）.pdf：https://static.uda.cn/pdf/index.html?url=https://static.uda.cn/pdf/report1/QC0115806/dsf1.pdf</t>
  </si>
  <si>
    <t>【SGS英文报告（重金属+微生物）】槲皮素（批号 QC0115806）.pdf：https://static.uda.cn/pdf/index.html?url=https://static.uda.cn/pdf/report1/QC0115806/SGS1.pdf</t>
  </si>
  <si>
    <t>210</t>
  </si>
  <si>
    <t>【香港佳力高出厂检测】TMG（批号 TMG0115806）.pdf：https://static.uda.cn/pdf/index.html?url=https://static.uda.cn/pdf/report1/TMG0115806/ccbg1.pdf</t>
  </si>
  <si>
    <t>【SGS 第三方检测】TMG（批号 TMG0115806）.pdf：https://static.uda.cn/pdf/index.html?url=https://static.uda.cn/pdf/report1/TMG0115806/dsf1.pdf</t>
  </si>
  <si>
    <t>【SGS 英文报告】TMG（批号 TMG0115806）.pdf：https://static.uda.cn/pdf/index.html?url=https://static.uda.cn/pdf/report1/TMG0115806/SGS1.pdf</t>
  </si>
  <si>
    <t>211</t>
  </si>
  <si>
    <t>【出厂检测】女士复合维生素（批号 AB0215801）.pdf：https://static.uda.cn/pdf/index.html?url=https://static.uda.cn/pdf/report1/AB0215801/ccbg1.pdf</t>
  </si>
  <si>
    <t>【SGS 第三方检测（重金属+微生物）】女维（批号 AB0215801）.pdf：https://static.uda.cn/pdf/index.html?url=https://static.uda.cn/pdf/report1/AB0215801/dsf1.pdf
【SGS 第三方检测（维矿含量）】女维（批号 AB0215801）.pdf：https://static.uda.cn/pdf/index.html?url=https://static.uda.cn/pdf/report1/AB0215801/dsf2.pdf
【SGS 第三方检测（B2、B6含量）】女维（批号 AB0215801）.pdf：https://static.uda.cn/pdf/index.html?url=https://static.uda.cn/pdf/report1/AB0215801/dsf3.pdf</t>
  </si>
  <si>
    <t>【SGS 英文报告（重金属+微生物）】女维（批号 AB0215801）.pdf：https://static.uda.cn/pdf/index.html?url=https://static.uda.cn/pdf/report1/AB0215801/SGS1.pdf
【SGS 英文报告（维矿含量）】女维（批号 AB0215801）.pdf：https://static.uda.cn/pdf/index.html?url=https://static.uda.cn/pdf/report1/AB0215801/SGS2.pdf
【SGS 英文报告（B2、B6含量）】女维（批号 AB0215801）.pdf：https://static.uda.cn/pdf/index.html?url=https://static.uda.cn/pdf/report1/AB0215801/SGS3.pdf</t>
  </si>
  <si>
    <t>212</t>
  </si>
  <si>
    <t>BC0116401</t>
  </si>
  <si>
    <t>【香港佳力高出厂检测】活性维生素B族（批号 BC0116401）.pdf：https://static.uda.cn/pdf/index.html?url=https://static.uda.cn/pdf/report1/BC0116401/ccbg1.pdf</t>
  </si>
  <si>
    <t>【SGS 第三方检测（重金属+微生物）】活性维生素B族（批号 BC0116401）.pdf：https://static.uda.cn/pdf/index.html?url=https://static.uda.cn/pdf/report1/BC0116401/dsf1.pdf
【SGS 第三方检测（B2、B6含量）】活性维生素B族（批号 BC0116401）.pdf：https://static.uda.cn/pdf/index.html?url=https://static.uda.cn/pdf/report1/BC0116401/dsf2.pdf
【SGS 第三方检测（含量）】活性维生素B族（批号 BC0116401）.pdf：https://static.uda.cn/pdf/index.html?url=https://static.uda.cn/pdf/report1/BC0116401/dsf3.pdf</t>
  </si>
  <si>
    <t>【SGS 英文报告（重金属+微生物）】活性维生素B族（批号 BC0116401）.pdf：https://static.uda.cn/pdf/index.html?url=https://static.uda.cn/pdf/report1/BC0116401/SGS1.pdf
【SGS 英文报告（含量）】活性维生素B族（批号 BC0116401）.pdf：https://static.uda.cn/pdf/index.html?url=https://static.uda.cn/pdf/report1/BC0116401/SGS2.pdf
【SGS 英文报告（B2、B6含量）】活性维生素B族（批号 BC0116401）.pdf：https://static.uda.cn/pdf/index.html?url=https://static.uda.cn/pdf/report1/BC0116401/SGS3.pdf</t>
  </si>
  <si>
    <t>213</t>
  </si>
  <si>
    <t>【香港佳力高出厂检测】锯棕榈番茄红素（批号 OS0115804）.pdf：https://static.uda.cn/pdf/index.html?url=https://static.uda.cn/pdf/report1/OS0115804/ccbg1.pdf</t>
  </si>
  <si>
    <t>【SGS 第三方检测（番茄红素含量）】锯棕榈番茄红素（批号 OS0115804）.pdf：https://static.uda.cn/pdf/index.html?url=https://static.uda.cn/pdf/report1/OS0115804/dsf1.pdf
【SGS 第三方检测（重金属+微生物）】锯棕榈番茄红素（批号 OS0115804）.pdf：https://static.uda.cn/pdf/index.html?url=https://static.uda.cn/pdf/report1/OS0115804/dsf2.pdf</t>
  </si>
  <si>
    <t>【SGS 英文报告（重金属+微生物）】锯棕榈番茄红素（批号 OS0115804）.pdf：https://static.uda.cn/pdf/index.html?url=https://static.uda.cn/pdf/report1/OS0115804/SGS1.pdf
【SGS 英文报告（番茄红素含量）】锯棕榈番茄红素（批号 OS0115804）.pdf：https://static.uda.cn/pdf/index.html?url=https://static.uda.cn/pdf/report1/OS0115804/SGS2.pdf</t>
  </si>
  <si>
    <t>锯棕榈油COA.png：https://static.uda.cn/pdf/index.html?url=https://static.uda.cn/pdf/report1/OS0115804/COA1.png</t>
  </si>
  <si>
    <t>214</t>
  </si>
  <si>
    <t>维生素  D3 滴剂</t>
  </si>
  <si>
    <t>【出厂检测】维生素 D3 滴剂（批号 VL1015802）.pdf：https://static.uda.cn/pdf/index.html?url=https://static.uda.cn/pdf/report1/VL1015802/ccbg1.pdf</t>
  </si>
  <si>
    <t>【SGS 第三方检测】维生素 D3 滴剂（批号 VL1015802）.pdf：https://static.uda.cn/pdf/index.html?url=https://static.uda.cn/pdf/report1/VL1015802/dsf1.pdf</t>
  </si>
  <si>
    <t>【SGS 英文报告】维生素 D3 滴剂（批号 VL1015802）.pdf：https://static.uda.cn/pdf/index.html?url=https://static.uda.cn/pdf/report1/VL1015802/SGS1.pdf</t>
  </si>
  <si>
    <t>215</t>
  </si>
  <si>
    <t>【出厂报告】胶原蛋白肽（批号CG01013601）.pdf：https://static.uda.cn/pdf/index.html?url=https://static.uda.cn/pdf/report1/CG01013601/ccbg1.pdf</t>
  </si>
  <si>
    <t>【SGS第三方检测（重金属+微生物）】胶原蛋白肽（批号 CG01013601）.pdf：https://static.uda.cn/pdf/index.html?url=https://static.uda.cn/pdf/report1/CG01013601/dsf1.pdf
【SGS第三方检测（片剂含量）】胶原蛋白肽（批号 CG01013601）.pdf：https://static.uda.cn/pdf/index.html?url=https://static.uda.cn/pdf/report1/CG01013601/dsf2.pdf
【SGS第三方检测（液体含量）】胶原蛋白肽（批号 CG01013601）.pdf：https://static.uda.cn/pdf/index.html?url=https://static.uda.cn/pdf/report1/CG01013601/dsf3.pdf
【SGS第三方检测（低聚肽含量）】胶原蛋白肽（批号 CG01013601）.pdf：https://static.uda.cn/pdf/index.html?url=https://static.uda.cn/pdf/report1/CG01013601/dsf4.pdf</t>
  </si>
  <si>
    <t>【SGS英文报告（重金属+微生物）】胶原蛋白肽（批号 CG01013601）.pdf：https://static.uda.cn/pdf/index.html?url=https://static.uda.cn/pdf/report1/CG01013601/SGS1.pdf
【SGS英文报告（液体含量）】胶原蛋白肽（批号 CG01013601）.pdf：https://static.uda.cn/pdf/index.html?url=https://static.uda.cn/pdf/report1/CG01013601/SGS2.pdf
【SGS英文报告（低聚肽含量）】胶原蛋白肽（批号 CG01013601）.pdf：https://static.uda.cn/pdf/index.html?url=https://static.uda.cn/pdf/report1/CG01013601/SGS3.pdf
【SGS英文报告（片剂含量）】胶原蛋白肽（批号 CG01013601）.pdf：https://static.uda.cn/pdf/index.html?url=https://static.uda.cn/pdf/report1/CG01013601/SGS4.pdf</t>
  </si>
  <si>
    <t>海洋弹性蛋白肽 COA.pdf：https://static.uda.cn/pdf/index.html?url=https://static.uda.cn/pdf/report1/CG01013601/COA1.pdf
Naticol COA.pdf：https://static.uda.cn/pdf/index.html?url=https://static.uda.cn/pdf/report1/CG01013601/COA2.pdf
海洋胶原蛋白三肽 COA.pdf：https://static.uda.cn/pdf/index.html?url=https://static.uda.cn/pdf/report1/CG01013601/COA3.pdf</t>
  </si>
  <si>
    <t>216</t>
  </si>
  <si>
    <t>男士复合维生素（GMP）</t>
  </si>
  <si>
    <t>【出厂检测】男士复合维生素（批号 MV0615805）.pdf：https://static.uda.cn/pdf/index.html?url=https://static.uda.cn/pdf/report1/MV0615805/ccbg1.pdf</t>
  </si>
  <si>
    <t>【SGS 第三方检测（重金属+微生物）】男士复合维生素（批号 MV0615805）.pdf：https://static.uda.cn/pdf/index.html?url=https://static.uda.cn/pdf/report1/MV0615805/dsf1.pdf
【SGS 第三方检测（维矿含量）】男士复合维生素（批号 MV0615805）.pdf：https://static.uda.cn/pdf/index.html?url=https://static.uda.cn/pdf/report1/MV0615805/dsf2.pdf
【SGS 第三方检测（B2、B6含量）】男士复合维生素（批号 MV0615805）.pdf：https://static.uda.cn/pdf/index.html?url=https://static.uda.cn/pdf/report1/MV0615805/dsf3.pdf</t>
  </si>
  <si>
    <t>【SGS 英文报告（重金属+微生物）】男士复合维生素（批号 MV0615805）.pdf：https://static.uda.cn/pdf/index.html?url=https://static.uda.cn/pdf/report1/MV0615805/SGS1.pdf
【SGS 英文报告（维矿含量）】男士复合维生素（批号 MV0615805）.pdf：https://static.uda.cn/pdf/index.html?url=https://static.uda.cn/pdf/report1/MV0615805/SGS2.pdf
【SGS 英文报告（B2、B6含量）】男士复合维生素（批号 MV0615805）.pdf：https://static.uda.cn/pdf/index.html?url=https://static.uda.cn/pdf/report1/MV0615805/SGS3.pdf</t>
  </si>
  <si>
    <t>217</t>
  </si>
  <si>
    <t>男士复合维生素（澳美）</t>
  </si>
  <si>
    <t>CD0215801</t>
  </si>
  <si>
    <t>【出厂报告】男士复合维生素 (批号 CD0215801).pdf：https://static.uda.cn/pdf/index.html?url=https://static.uda.cn/pdf/report1/CD0215801/ccbg1.pdf</t>
  </si>
  <si>
    <t>【SGS第三方检测（含量）】男士复合维生素（批号 CD0215801）.pdf：https://static.uda.cn/pdf/index.html?url=https://static.uda.cn/pdf/report1/CD0215801/dsf1.pdf
【SGS第三方检测（重金属+微生物）】男士复合维生素（批号 CD0215801）.pdf：https://static.uda.cn/pdf/index.html?url=https://static.uda.cn/pdf/report1/CD0215801/dsf2.pdf
【SGS第三方检测（B2、B6含量）】男士复合维生素（批号 CD0215801）.pdf：https://static.uda.cn/pdf/index.html?url=https://static.uda.cn/pdf/report1/CD0215801/dsf3.pdf</t>
  </si>
  <si>
    <t>【SGS英文报告（含量）】男士复合维生素（批号 CD0215801）.pdf：https://static.uda.cn/pdf/index.html?url=https://static.uda.cn/pdf/report1/CD0215801/SGS1.pdf
【SGS英文报告（重金属+微生物）】男士复合维生素（批号 CD0215801）.pdf：https://static.uda.cn/pdf/index.html?url=https://static.uda.cn/pdf/report1/CD0215801/SGS2.pdf
【SGS英文报告（B2、B6含量）】男士复合维生素（批号 CD0215801）.pdf：https://static.uda.cn/pdf/index.html?url=https://static.uda.cn/pdf/report1/CD0215801/SGS3.pdf</t>
  </si>
  <si>
    <t>218</t>
  </si>
  <si>
    <t>【香港佳力高出厂报告】养胃益生菌（批号 PL0115802）.pdf：https://static.uda.cn/pdf/index.html?url=https://static.uda.cn/pdf/report1/PL0115802/ccbg1.pdf</t>
  </si>
  <si>
    <t>【SGS 第三方检测（重金属+微生物）】养胃益生菌（批号 PL0115802）.pdf：https://static.uda.cn/pdf/index.html?url=https://static.uda.cn/pdf/report1/PL0115802/dsf1.pdf
【SGS 第三方检测（谷氨酰胺含量）】养胃益生菌（批号 PL0115802）.pdf：https://static.uda.cn/pdf/index.html?url=https://static.uda.cn/pdf/report1/PL0115802/dsf2.pdf</t>
  </si>
  <si>
    <t>【SGS 英文报告（重金属+微生物）】养胃益生菌（批号 PL0115802）.pdf：https://static.uda.cn/pdf/index.html?url=https://static.uda.cn/pdf/report1/PL0115802/SGS1.pdf
【SGS 英文报告（谷氨酰胺含量）】养胃益生菌（批号 PL0115802）.pdf：https://static.uda.cn/pdf/index.html?url=https://static.uda.cn/pdf/report1/PL0115802/SGS2.pdf</t>
  </si>
  <si>
    <t>219</t>
  </si>
  <si>
    <t>【香港佳力高出厂报告】纳豆激酶（批号 NK0115804）.pdf：https://static.uda.cn/pdf/index.html?url=https://static.uda.cn/pdf/report1/NK0115804/ccbg1.pdf</t>
  </si>
  <si>
    <t>【SGS 第三方检测（重金属+微生物）】纳豆激酶（批号 NK0115804）.pdf：https://static.uda.cn/pdf/index.html?url=https://static.uda.cn/pdf/report1/NK0115804/dsf1.pdf</t>
  </si>
  <si>
    <t>【SGS 英文报告（重金属+微生物）】纳豆激酶（批号 NK0115804）.pdf：https://static.uda.cn/pdf/index.html?url=https://static.uda.cn/pdf/report1/NK0115804/SGS1.pdf</t>
  </si>
  <si>
    <t>220</t>
  </si>
  <si>
    <t>鱼油（韩国）</t>
  </si>
  <si>
    <t>FO1616401</t>
  </si>
  <si>
    <t>【出厂报告】鱼油（批号 FO1616401）.pdf：https://static.uda.cn/pdf/index.html?url=https://static.uda.cn/pdf/report1/FO1616401/ccbg1.pdf</t>
  </si>
  <si>
    <t>【SGS 第三方检测（氯丙醇）】鱼油（批号 FO1616401、FO1616402、FO1616403、FO1616404）.pdf：https://static.uda.cn/pdf/index.html?url=https://static.uda.cn/pdf/report1/FO1616401/dsf1.pdf
【SGS 第三方检测（重金属+微生物）】鱼油（批号FO1616401，FO1616402，FO1616403，FO1616404）.pdf：https://static.uda.cn/pdf/index.html?url=https://static.uda.cn/pdf/report1/FO1616401/dsf2.pdf
【SGS 第三方检测（含量-面积法）】鱼油（批号 FO1616401、FO1616402、FO1616403、FO1616404）.pdf：https://static.uda.cn/pdf/index.html?url=https://static.uda.cn/pdf/report1/FO1616401/dsf3.pdf
【SGS 第三方检测（辐射）】鱼油（批号 FO1616401、FO1616402、FO1616403、FO1616404）.pdf：https://static.uda.cn/pdf/index.html?url=https://static.uda.cn/pdf/report1/FO1616401/dsf4.pdf</t>
  </si>
  <si>
    <t>【IFOS 报告】鱼油（批号FO1616401）.pdf：https://static.uda.cn/pdf/index.html?url=https://static.uda.cn/pdf/report1/FO1616401/IFOS1.pdf</t>
  </si>
  <si>
    <t>【SGS 英文报告（辐射）】鱼油（批号 FO1616401、FO1616402、FO1616403、FO1616404）.pdf：https://static.uda.cn/pdf/index.html?url=https://static.uda.cn/pdf/report1/FO1616401/SGS1.pdf
【SGS 英文报告（氯丙醇）】鱼油（批号 FO1616401、FO1616402、FO1616403、FO1616404）.pdf：https://static.uda.cn/pdf/index.html?url=https://static.uda.cn/pdf/report1/FO1616401/SGS2.pdf
【SGS 英文报告（含量-面积法）】鱼油（批号 FO1616401、FO1616402、FO1616403、FO1616404）.pdf：https://static.uda.cn/pdf/index.html?url=https://static.uda.cn/pdf/report1/FO1616401/SGS3.pdf
【SGS 英文报告（重金属+微生物）】鱼油（批号 FO1616401，FO1616402，FO1616403，FO1616404）.pdf：https://static.uda.cn/pdf/index.html?url=https://static.uda.cn/pdf/report1/FO1616401/SGS4.pdf</t>
  </si>
  <si>
    <t>FO1616402</t>
  </si>
  <si>
    <t>【出厂报告】鱼油（批号 FO1616402）.pdf：https://static.uda.cn/pdf/index.html?url=https://static.uda.cn/pdf/report1/FO1616402/ccbg1.pdf</t>
  </si>
  <si>
    <t>【IFOS 报告】鱼油（批号FO1616402）.pdf：https://static.uda.cn/pdf/index.html?url=https://static.uda.cn/pdf/report1/FO1616402/IFOS1.pdf</t>
  </si>
  <si>
    <t>FO1616403</t>
  </si>
  <si>
    <t>【出厂检测】鱼油（批号 FO1616403）.pdf：https://static.uda.cn/pdf/index.html?url=https://static.uda.cn/pdf/report1/FO1616403/ccbg1.pdf</t>
  </si>
  <si>
    <t>【IFOS 报告】鱼油（批号FO1616403）.pdf：https://static.uda.cn/pdf/index.html?url=https://static.uda.cn/pdf/report1/FO1616403/IFOS1.pdf</t>
  </si>
  <si>
    <t>FO1616404</t>
  </si>
  <si>
    <t>【出厂检测】鱼油（批号 FO1616404）.pdf：https://static.uda.cn/pdf/index.html?url=https://static.uda.cn/pdf/report1/FO1616404/ccbg1.pdf</t>
  </si>
  <si>
    <t>【IFOS 报告】鱼油（批号FO1616404）.pdf：https://static.uda.cn/pdf/index.html?url=https://static.uda.cn/pdf/report1/FO1616404/IFOS1.pdf</t>
  </si>
  <si>
    <t>221</t>
  </si>
  <si>
    <t>UC0115809</t>
  </si>
  <si>
    <t>【香港佳力高出厂报告】姜黄素 (批号 UC0115809) .pdf：https://static.uda.cn/pdf/index.html?url=https://static.uda.cn/pdf/report1/UC0115809/ccbg1.pdf</t>
  </si>
  <si>
    <t>【SGS 第三方报告】姜黄素 (批号 UC0115809) .pdf：https://static.uda.cn/pdf/index.html?url=https://static.uda.cn/pdf/report1/UC0115809/dsf1.pdf</t>
  </si>
  <si>
    <t>【SGS 英文报告】姜黄素 (批号 UC0115809) .pdf：https://static.uda.cn/pdf/index.html?url=https://static.uda.cn/pdf/report1/UC0115809/SGS1.pdf</t>
  </si>
  <si>
    <t>222</t>
  </si>
  <si>
    <t>【出厂报告】维生素 D3K2 钙（批号 DKC1015802）.pdf：https://static.uda.cn/pdf/index.html?url=https://static.uda.cn/pdf/report1/DKC1015802/ccbg1.pdf</t>
  </si>
  <si>
    <t>【SGS 第三方报告（重金属+微生物+D3+钙含量）】维生素 D3K2 钙（批号 DKC1015802）.pdf：https://static.uda.cn/pdf/index.html?url=https://static.uda.cn/pdf/report1/DKC1015802/dsf1.pdf
【SGS 英文报告（K2 含量）】维生素 D3K2 钙（批号 DKC1015802）.pdf：https://static.uda.cn/pdf/index.html?url=https://static.uda.cn/pdf/report1/DKC1015802/dsf2.pdf</t>
  </si>
  <si>
    <t>【SGS 英文报告（重金属+微生物+D3+钙含量）】维生素 D3K2 钙（批号 DKC1015802）.pdf：https://static.uda.cn/pdf/index.html?url=https://static.uda.cn/pdf/report1/DKC1015802/SGS1.pdf
【SGS 英文报告（K2 含量）】维生素 D3K2 钙（批号 DKC1015802）.pdf：https://static.uda.cn/pdf/index.html?url=https://static.uda.cn/pdf/report1/DKC1015802/SGS2.pdf</t>
  </si>
  <si>
    <t>223</t>
  </si>
  <si>
    <t>【香港佳力高出厂报告】辅酶Q10（批号 QH0115809）.pdf：https://static.uda.cn/pdf/index.html?url=https://static.uda.cn/pdf/report1/QH0115809/ccbg1.pdf</t>
  </si>
  <si>
    <t>【SGS 第三方检测（重金属+微生物）】辅酶Q10（批号 QH0115809）.pdf：https://static.uda.cn/pdf/index.html?url=https://static.uda.cn/pdf/report1/QH0115809/dsf1.pdf</t>
  </si>
  <si>
    <t>【SGS 英文报告（重金属+微生物）】辅酶Q10（批号 QH0115809）.pdf：https://static.uda.cn/pdf/index.html?url=https://static.uda.cn/pdf/report1/QH0115809/SGS1.pdf
【SGS 英文报告（含量）】辅酶Q10（批号 QH0115809）.pdf：https://static.uda.cn/pdf/index.html?url=https://static.uda.cn/pdf/report1/QH0115809/SGS2.pdf</t>
  </si>
  <si>
    <t>224</t>
  </si>
  <si>
    <t>【香港佳力高出厂报告】牡蛎精（批号 OPO0115806）.pdf：https://static.uda.cn/pdf/index.html?url=https://static.uda.cn/pdf/report1/OPO0115806/ccbg1.pdf</t>
  </si>
  <si>
    <t>【SGS 第三方报告】牡蛎精（批号 OPO0115806）.pdf：https://static.uda.cn/pdf/index.html?url=https://static.uda.cn/pdf/report1/OPO0115806/dsf1.pdf</t>
  </si>
  <si>
    <t>【SGS 英文报告】牡蛎精（批号 OPO0115806）.pdf：https://static.uda.cn/pdf/index.html?url=https://static.uda.cn/pdf/report1/OPO0115806/SGS1.pdf</t>
  </si>
  <si>
    <t>225</t>
  </si>
  <si>
    <t>【香港佳力高出厂报告】PQQ（批号 PP0115806）.pdf：https://static.uda.cn/pdf/index.html?url=https://static.uda.cn/pdf/report1/PP0115806/ccbg1.pdf</t>
  </si>
  <si>
    <t>【SGS 第三方检测（重金属+微生物）】PQQ（批号 PP0115806）.pdf：https://static.uda.cn/pdf/index.html?url=https://static.uda.cn/pdf/report1/PP0115806/dsf1.pdf</t>
  </si>
  <si>
    <t>【SGS 英文报告（重金属+微生物）】PQQ（批号 PP0115806）.pdf：https://static.uda.cn/pdf/index.html?url=https://static.uda.cn/pdf/report1/PP0115806/SGS1.pdf</t>
  </si>
  <si>
    <t>226</t>
  </si>
  <si>
    <t>【香港佳力高出厂报告】尿石素A（批号 UA0116401）.pdf：https://static.uda.cn/pdf/index.html?url=https://static.uda.cn/pdf/report1/UA0116401/ccbg1.pdf</t>
  </si>
  <si>
    <t>【SGS 第三方报告（重金属+微生物）】尿石素A（批号 UA0116401）.pdf：https://static.uda.cn/pdf/index.html?url=https://static.uda.cn/pdf/report1/UA0116401/dsf1.pdf</t>
  </si>
  <si>
    <t>【SGS 英文报告（重金属+微生物）】尿石素A（批号 UA0116401）.pdf：https://static.uda.cn/pdf/index.html?url=https://static.uda.cn/pdf/report1/UA0116401/SGS1.pdf</t>
  </si>
  <si>
    <t>尿石素 COA.pdf：https://static.uda.cn/pdf/index.html?url=https://static.uda.cn/pdf/report1/UA0116401/COA1.pdf</t>
  </si>
  <si>
    <t>227</t>
  </si>
  <si>
    <t>NMNH0115805</t>
  </si>
  <si>
    <t>【香港佳力高出厂报告】NMN（批号 NMNH0115805）.pdf：https://static.uda.cn/pdf/index.html?url=https://static.uda.cn/pdf/report1/NMNH0115805/ccbg1.pdf</t>
  </si>
  <si>
    <t>【SGS 第三方报告】NMN（批号 NMNH0115805）.pdf：https://static.uda.cn/pdf/index.html?url=https://static.uda.cn/pdf/report1/NMNH0115805/dsf1.pdf</t>
  </si>
  <si>
    <t>【SGS 英文报告】NMN（批号 NMNH0115805）.pdf：https://static.uda.cn/pdf/index.html?url=https://static.uda.cn/pdf/report1/NMNH0115805/SGS1.pdf</t>
  </si>
  <si>
    <t>228</t>
  </si>
  <si>
    <t>【香港佳力高出厂报告】南非醉茄（批号 AG0115806）.pdf：https://static.uda.cn/pdf/index.html?url=https://static.uda.cn/pdf/report1/AG0115806/ccbg1.pdf</t>
  </si>
  <si>
    <t>【SGS 第三方检测】南非醉茄（批号 AG0115806）.pdf：https://static.uda.cn/pdf/index.html?url=https://static.uda.cn/pdf/report1/AG0115806/dsf1.pdf</t>
  </si>
  <si>
    <t>【SGS 英文报告】南非醉茄（批号 AG0115806）.pdf：https://static.uda.cn/pdf/index.html?url=https://static.uda.cn/pdf/report1/AG0115806/SGS1.pdf</t>
  </si>
  <si>
    <t>【COA-1】南非醉茄（批号 AG0115806）.png：https://static.uda.cn/pdf/index.html?url=https://static.uda.cn/pdf/report1/AG0115806/COA1.png
【COA-2】南非醉茄（批号 AG0115806）.png：https://static.uda.cn/pdf/index.html?url=https://static.uda.cn/pdf/report1/AG0115806/COA2.png
【COA-3】南非醉茄（批号 AG0115806）.png：https://static.uda.cn/pdf/index.html?url=https://static.uda.cn/pdf/report1/AG0115806/COA3.png</t>
  </si>
  <si>
    <t>229</t>
  </si>
  <si>
    <t>【香港佳力高出厂报告】亚精胺（批号 SMF0116401）.pdf：https://static.uda.cn/pdf/index.html?url=https://static.uda.cn/pdf/report1/SMF0116401/ccbg1.pdf</t>
  </si>
  <si>
    <t>【SGS 第三方检测】亚精胺（批号 SMF0116401）.pdf：https://static.uda.cn/pdf/index.html?url=https://static.uda.cn/pdf/report1/SMF0116401/dsf1.pdf</t>
  </si>
  <si>
    <t>【SGS 英文报告】亚精胺（批号 SMF0116401）.pdf：https://static.uda.cn/pdf/index.html?url=https://static.uda.cn/pdf/report1/SMF0116401/SGS1.pdf</t>
  </si>
  <si>
    <t>230</t>
  </si>
  <si>
    <t>【香港佳力高出厂报告】护肝胶囊（批号 LDT0115808）.pdf：https://static.uda.cn/pdf/index.html?url=https://static.uda.cn/pdf/report1/LDT0115808/ccbg1.pdf</t>
  </si>
  <si>
    <t>【SGS 第三方检测（重金属+微生物）】护肝胶囊（批号 LDT0115808）.pdf：https://static.uda.cn/pdf/index.html?url=https://static.uda.cn/pdf/report1/LDT0115808/dsf1.pdf
【SGS 第三方检测（水飞蓟宾含量）】护肝胶囊（批号 LDT0115808）.pdf：https://static.uda.cn/pdf/index.html?url=https://static.uda.cn/pdf/report1/LDT0115808/dsf2.pdf</t>
  </si>
  <si>
    <t>【SGS 英文报告（重金属+微生物）】护肝胶囊（批号 LDT0115808）.pdf：https://static.uda.cn/pdf/index.html?url=https://static.uda.cn/pdf/report1/LDT0115808/SGS1.pdf
【SGS 英文报告（水飞蓟宾含量）】护肝胶囊（批号 LDT0115808）.pdf：https://static.uda.cn/pdf/index.html?url=https://static.uda.cn/pdf/report1/LDT0115808/SGS2.pdf</t>
  </si>
  <si>
    <t>231</t>
  </si>
  <si>
    <t>【香港佳力高出厂报告】B族（批号 BC0116402）.pdf：https://static.uda.cn/pdf/index.html?url=https://static.uda.cn/pdf/report1/BC0116402/ccbg1.pdf</t>
  </si>
  <si>
    <t>【SGS 第三方检测（重金属+微生物）】活性维生素 B 族（批号 BC0116402）.pdf：https://static.uda.cn/pdf/index.html?url=https://static.uda.cn/pdf/report1/BC0116402/dsf1.pdf
【SGS 第三方检测（含量）】活性维生素 B 族（批号 BC0116402）.pdf：https://static.uda.cn/pdf/index.html?url=https://static.uda.cn/pdf/report1/BC0116402/dsf2.pdf
【SGS 第三方检测（B2、B6含量）】活性维生素 B 族（批号 BC0116402）.pdf：https://static.uda.cn/pdf/index.html?url=https://static.uda.cn/pdf/report1/BC0116402/dsf3.pdf</t>
  </si>
  <si>
    <t>【SGS 英文报告（重金属+微生物）】活性维生素 B 族（批号 BC0116402）.pdf：https://static.uda.cn/pdf/index.html?url=https://static.uda.cn/pdf/report1/BC0116402/SGS1.pdf
【SGS 英文报告（含量）】活性维生素 B 族（批号 BC0116402）.pdf：https://static.uda.cn/pdf/index.html?url=https://static.uda.cn/pdf/report1/BC0116402/SGS2.pdf
【SGS 英文报告（B2、B6含量）】活性维生素 B 族（批号 BC0116402）.pdf：https://static.uda.cn/pdf/index.html?url=https://static.uda.cn/pdf/report1/BC0116402/SGS3.pdf</t>
  </si>
  <si>
    <t>Active Vitamin B premix COA 070226.pdf：https://static.uda.cn/pdf/index.html?url=https://static.uda.cn/pdf/report1/BC0116402/COA1.pdf</t>
  </si>
  <si>
    <t>232</t>
  </si>
  <si>
    <t>【出厂检测】玛卡喜来芝（批号2025-31054）.pdf：https://static.uda.cn/pdf/index.html?url=https://static.uda.cn/pdf/report1/2025-31054/ccbg1.pdf</t>
  </si>
  <si>
    <t>【SGS 第三方检测（ 重金属+微生物+锌含量+硒含量 ）】玛卡喜来芝（批号2025-31054）.pdf：https://static.uda.cn/pdf/index.html?url=https://static.uda.cn/pdf/report1/2025-31054/dsf1.pdf
【SGS 第三方检测 （ 精氨酸含量 ）】玛卡喜来芝（批号2025-31054）.pdf：https://static.uda.cn/pdf/index.html?url=https://static.uda.cn/pdf/report1/2025-31054/dsf2.pdf
【SGS 第三方检测 （ 番茄红素含量 ）】玛卡喜来芝（批号2025-31054）.pdf：https://static.uda.cn/pdf/index.html?url=https://static.uda.cn/pdf/report1/2025-31054/dsf3.pdf
【SGS 第三方检测（ 农残 ）】 玛卡喜来芝（批号 2025-31054）.pdf：https://static.uda.cn/pdf/index.html?url=https://static.uda.cn/pdf/report1/2025-31054/dsf4.pdf</t>
  </si>
  <si>
    <t>【SGS 英文报告（ 番茄红素含量 ）】玛卡喜来芝（批号2025-31054）.pdf：https://static.uda.cn/pdf/index.html?url=https://static.uda.cn/pdf/report1/2025-31054/SGS1.pdf
【SGS 英文报告（ 精氨酸含量 ）】玛卡喜来芝（批号2025-31054）.pdf：https://static.uda.cn/pdf/index.html?url=https://static.uda.cn/pdf/report1/2025-31054/SGS2.pdf
【SGS 英文报告（ 重金属+微生物+锌含量+硒含量 ）】玛卡喜来芝（批号2025-31054）.pdf：https://static.uda.cn/pdf/index.html?url=https://static.uda.cn/pdf/report1/2025-31054/SGS3.pdf
【SGS 英文报告（ 农残 ）】 玛卡喜来芝（批号 2025-31054）.pdf：https://static.uda.cn/pdf/index.html?url=https://static.uda.cn/pdf/report1/2025-31054/SGS4.pdf</t>
  </si>
  <si>
    <t>番茄红素 COA.pdf：https://static.uda.cn/pdf/index.html?url=https://static.uda.cn/pdf/report1/2025-31054/COA1.pdf
酵母硒 COA.pdf：https://static.uda.cn/pdf/index.html?url=https://static.uda.cn/pdf/report1/2025-31054/COA2.pdf
酵母锌 COA.pdf：https://static.uda.cn/pdf/index.html?url=https://static.uda.cn/pdf/report1/2025-31054/COA3.pdf
玛卡根 COA.pdf：https://static.uda.cn/pdf/index.html?url=https://static.uda.cn/pdf/report1/2025-31054/COA4.pdf
L-瓜氨酸 COA.pdf：https://static.uda.cn/pdf/index.html?url=https://static.uda.cn/pdf/report1/2025-31054/COA5.pdf
L-精氨酸 COA.pdf：https://static.uda.cn/pdf/index.html?url=https://static.uda.cn/pdf/report1/2025-31054/COA6.pdf
PrimaVie®（喜来芝提取物） COA.pdf：https://static.uda.cn/pdf/index.html?url=https://static.uda.cn/pdf/report1/2025-31054/COA7.pdf</t>
  </si>
  <si>
    <t>233</t>
  </si>
  <si>
    <t>【出厂报告】益生菌粉（批号ETY1016401）.pdf：https://static.uda.cn/pdf/index.html?url=https://static.uda.cn/pdf/report1/ETY1016401/ccbg1.pdf</t>
  </si>
  <si>
    <t>【SGS 第三方检测（感官）】益生菌粉（批号ETY1016401）.pdf：https://static.uda.cn/pdf/index.html?url=https://static.uda.cn/pdf/report1/ETY1016401/dsf1.pdf
【SGS 第三方检测（活菌数+微生物+重金属）】益生菌粉（批号ETY1016401）.pdf：https://static.uda.cn/pdf/index.html?url=https://static.uda.cn/pdf/report1/ETY1016401/dsf2.pdf
【梅里埃 第三方检测（致敏原 16 项）】益生菌粉（批号ETY1016401）.pdf：https://static.uda.cn/pdf/index.html?url=https://static.uda.cn/pdf/report1/ETY1016401/dsf3.pdf
【梅里埃 第三方检测（激素 54 项）】益生菌粉（批号ETY1016401）.pdf：https://static.uda.cn/pdf/index.html?url=https://static.uda.cn/pdf/report1/ETY1016401/dsf4.pdf
【梅里埃 第三方检测（有害菌 9 项）】益生菌粉（批号ETY1016401）.pdf：https://static.uda.cn/pdf/index.html?url=https://static.uda.cn/pdf/report1/ETY1016401/dsf5.pdf
【梅里埃 第三方检测（蜡样芽孢杆菌呕吐毒素）】益生菌粉（批号ETY1016401）.pdf：https://static.uda.cn/pdf/index.html?url=https://static.uda.cn/pdf/report1/ETY1016401/dsf6.pdf
【SGS 第三方检测（人工香精 2 项）】益生菌粉（批号ETY1016401）.pdf：https://static.uda.cn/pdf/index.html?url=https://static.uda.cn/pdf/report1/ETY1016401/dsf7.pdf
【SGS 第三方检测（人工香精 5 项+人工合成色素 11 项）】益生菌粉（批号ETY1016401）.pdf：https://static.uda.cn/pdf/index.html?url=https://static.uda.cn/pdf/report1/ETY1016401/dsf8.pdf</t>
  </si>
  <si>
    <t>【SGS 英文报告（感官）】益生菌粉（批号ETY1016401）.pdf：https://static.uda.cn/pdf/index.html?url=https://static.uda.cn/pdf/report1/ETY1016401/SGS1.pdf
【SGS 英文报告（微生物+重金属）】益生菌粉（批号ETY1016401）.pdf：https://static.uda.cn/pdf/index.html?url=https://static.uda.cn/pdf/report1/ETY1016401/SGS2.pdf</t>
  </si>
  <si>
    <t>234</t>
  </si>
  <si>
    <t>【香港佳力高出厂报告】麦角硫因谷胱甘肽（批号 EGF0116401）.pdf：https://static.uda.cn/pdf/index.html?url=https://static.uda.cn/pdf/report1/EGF0116401/ccbg1.pdf</t>
  </si>
  <si>
    <t>【SGS 第三方检测（重金属+微生物）】麦角硫因谷胱甘肽（批号 EGF0116401）.pdf：https://static.uda.cn/pdf/index.html?url=https://static.uda.cn/pdf/report1/EGF0116401/dsf1.pdf
【SGS 第三方检测（麦角硫因含量）】麦角硫因谷胱甘肽（批号 EGF0116401）.pdf：https://static.uda.cn/pdf/index.html?url=https://static.uda.cn/pdf/report1/EGF0116401/dsf2.pdf</t>
  </si>
  <si>
    <t>【SGS 英文报告（重金属+微生物）】麦角硫因谷胱甘肽（批号 EGF0116401）.pdf：https://static.uda.cn/pdf/index.html?url=https://static.uda.cn/pdf/report1/EGF0116401/SGS1.pdf
【SGS 英文报告（麦角硫因含量）】麦角硫因谷胱甘肽（批号 EGF0116401）.pdf：https://static.uda.cn/pdf/index.html?url=https://static.uda.cn/pdf/report1/EGF0116401/SGS2.pdf</t>
  </si>
  <si>
    <t>235</t>
  </si>
  <si>
    <t>【香港佳力高出厂报告】AKK（批号 AK0115811）.pdf</t>
  </si>
  <si>
    <t>【SGS 第三方检测（重金属+微生物）】AKK（批号 AK0115811）.pdf</t>
  </si>
  <si>
    <t>【SGS 英文报告（重金属+微生物）】AKK（批号 AK0115811）.pdf</t>
  </si>
  <si>
    <t>236</t>
  </si>
  <si>
    <t>PPF0116401</t>
  </si>
  <si>
    <t>【香港佳力高出厂报告】PQQ+PS（批号 PPF0116401）.pdf</t>
  </si>
  <si>
    <t>【SGS 第三方检测（重金属+微生物）】PQQ+PS（批号 PPF0116401）.pdf</t>
  </si>
  <si>
    <t>【SGS 英文报告（重金属+微生物）】PQQ+PS（批号 PPF0116401）.pdf</t>
  </si>
  <si>
    <t>237</t>
  </si>
  <si>
    <t>【出厂报告】 儿童钙镁锌 批号（10091119 ）.pdf：https://static.uda.cn/pdf/index.html?url=https://static.uda.cn/pdf/report1/10091119/ccbg1.pdf</t>
  </si>
  <si>
    <t>【SGS 第三方检测（钙、镁、锌、维生素 K2、维生素 D3 含量）】 儿童液体钙镁锌（批号 10091119）.pdf：https://static.uda.cn/pdf/index.html?url=https://static.uda.cn/pdf/report1/10091119/dsf1.pdf
【SGS 第三方检测（重金属、微生物、密度）】 儿童液体钙镁锌（批号 10091119）.pdf.pdf：https://static.uda.cn/pdf/index.html?url=https://static.uda.cn/pdf/report1/10091119/dsf2.pdf
【SGS 第三方检测（L-赖氨酸）】 儿童液体钙镁锌（批号 10091119）.pdf.pdf：https://static.uda.cn/pdf/index.html?url=https://static.uda.cn/pdf/report1/10091119/dsf3.pdf
【SGS 第三方检测（成分和过敏原）】 儿童液体钙镁锌（批号 10091119）.pdf：https://static.uda.cn/pdf/index.html?url=https://static.uda.cn/pdf/report1/10091119/dsf4.pdf
【SGS 第三方检测（防腐剂）】 儿童液体钙镁锌（批号 10091119）.pdf：https://static.uda.cn/pdf/index.html?url=https://static.uda.cn/pdf/report1/10091119/dsf5.pdf
【SGS 第三方检测（激素）】 儿童液体钙镁锌（批号 10091119）.pdf.pdf：https://static.uda.cn/pdf/index.html?url=https://static.uda.cn/pdf/report1/10091119/dsf6.pdf
【SGS 第三方检测（塑化剂）】 儿童液体钙镁锌（批号 10091119）.pdf.pdf：https://static.uda.cn/pdf/index.html?url=https://static.uda.cn/pdf/report1/10091119/dsf7.pdf
【SGS 第三方检测（蔗糖）】 儿童液体钙镁锌（批号 10091119）.pdf.pdf：https://static.uda.cn/pdf/index.html?url=https://static.uda.cn/pdf/report1/10091119/dsf8.pdf
【SGS 第三方检测（色素）】 儿童液体钙镁锌（批号 10091119）.pdf：https://static.uda.cn/pdf/index.html?url=https://static.uda.cn/pdf/report1/10091119/dsf9.pdf</t>
  </si>
  <si>
    <t>【SGS 英文报告 （成分和过敏原）】 儿童液体钙镁锌（批号 10091119）.pdf：https://static.uda.cn/pdf/index.html?url=https://static.uda.cn/pdf/report1/10091119/SGS1.pdf
【SGS 英文报告 （防腐剂）】 儿童液体钙镁锌（批号 10091119）.pdf：https://static.uda.cn/pdf/index.html?url=https://static.uda.cn/pdf/report1/10091119/SGS2.pdf
【SGS 英文报告 （钙、镁、锌、维生素 K2、维生素 D3 含量）】 儿童液体钙镁锌（批号 10091119）.pdf：https://static.uda.cn/pdf/index.html?url=https://static.uda.cn/pdf/report1/10091119/SGS3.pdf
【SGS 英文报告 （激素）】 儿童液体钙镁锌（批号 10091119）.pdf：https://static.uda.cn/pdf/index.html?url=https://static.uda.cn/pdf/report1/10091119/SGS4.pdf
【SGS 英文报告 （塑化剂）】 儿童液体钙镁锌（批号 10091119）.pdf：https://static.uda.cn/pdf/index.html?url=https://static.uda.cn/pdf/report1/10091119/SGS5.pdf
【SGS 英文报告 （重金属、微生物、密度）】 儿童液体钙镁锌（批号 10091119）.pdf：https://static.uda.cn/pdf/index.html?url=https://static.uda.cn/pdf/report1/10091119/SGS6.pdf
【SGS 英文报告 （L-赖氨酸）】 儿童液体钙镁锌（批号 10091119）.pdf：https://static.uda.cn/pdf/index.html?url=https://static.uda.cn/pdf/report1/10091119/SGS7.pdf
【SGS 英文报告（蔗糖）】 儿童液体钙镁锌（批号 10091119）.pdf：https://static.uda.cn/pdf/index.html?url=https://static.uda.cn/pdf/report1/10091119/SGS8.pdf
【SGS 英文报告（色素）】 儿童液体钙镁锌（批号 10091119）.pdf：https://static.uda.cn/pdf/index.html?url=https://static.uda.cn/pdf/report1/10091119/SGS9.pdf</t>
  </si>
  <si>
    <t>238</t>
  </si>
  <si>
    <t>WV0616401</t>
  </si>
  <si>
    <t>【出厂检测】 女士复合维生素（批号：WV0616401）.pdf：https://static.uda.cn/pdf/index.html?url=https://static.uda.cn/pdf/report1/WV0616401/ccbg1.pdf</t>
  </si>
  <si>
    <t>【SGS 第三方检测（重金属+微生物）】 女士复合维生素（批号：WV0616401）.pdf：https://static.uda.cn/pdf/index.html?url=https://static.uda.cn/pdf/report1/WV0616401/dsf1.pdf
【SGS 第三方检测（维矿含量】 女士复合维生素（批号：WV0616401）.pdf：https://static.uda.cn/pdf/index.html?url=https://static.uda.cn/pdf/report1/WV0616401/dsf2.pdf
【SGS 第三方检测（维生素 C 含量】 女士复合维生素（批号：WV0616401）.pdf：https://static.uda.cn/pdf/index.html?url=https://static.uda.cn/pdf/report1/WV0616401/dsf3.pdf
【SGS 第三方检测（维生素 B2、B6 含量】 女士复合维生素（批号：WV0616401）.pdf：https://static.uda.cn/pdf/index.html?url=https://static.uda.cn/pdf/report1/WV0616401/dsf4.pdf</t>
  </si>
  <si>
    <t>【SGS 英文报告（维矿含量】 女士复合维生素（批号：WV0616401）.pdf：https://static.uda.cn/pdf/index.html?url=https://static.uda.cn/pdf/report1/WV0616401/SGS1.pdf
【SGS 英文报告（维生素 B2、B6 含量）】 女士复合维生素（批号：WV0616401）.pdf：https://static.uda.cn/pdf/index.html?url=https://static.uda.cn/pdf/report1/WV0616401/SGS2.pdf
【SGS 英文报告（重金属+微生物）】 女士复合维生素（批号：WV0616401）.pdf：https://static.uda.cn/pdf/index.html?url=https://static.uda.cn/pdf/report1/WV0616401/SGS3.pdf
【SGS 英文报告（维生素 C 含量）】 女士复合维生素（批号：WV0616401）.pdf：https://static.uda.cn/pdf/index.html?url=https://static.uda.cn/pdf/report1/WV0616401/SGS4.pdf</t>
  </si>
  <si>
    <t>239</t>
  </si>
  <si>
    <t>【出厂检测】婴幼少儿 DHA 藻油（批号 U603303）.pdf：https://static.uda.cn/pdf/index.html?url=https://static.uda.cn/pdf/report1/U603303/ccbg1.pdf</t>
  </si>
  <si>
    <t>【SGS 第三方检测（二噁英多氯联苯污染物）婴幼少儿 DHA 藻油（批号 U603303）.pdf：https://static.uda.cn/pdf/index.html?url=https://static.uda.cn/pdf/report1/U603303/dsf1.pdf
【SGS 第三方检测（防腐剂）婴幼少儿 DHA 藻油（批号 U603303）.pdf：https://static.uda.cn/pdf/index.html?url=https://static.uda.cn/pdf/report1/U603303/dsf2.pdf
【SGS 第三方检测（放射性物质）婴幼少儿 DHA 藻油（批号 U603303）.pdf：https://static.uda.cn/pdf/index.html?url=https://static.uda.cn/pdf/report1/U603303/dsf3.pdf
【SGS 第三方检测（重金属微生物）婴幼少儿 DHA 藻油（批号 U603303）.pdf：https://static.uda.cn/pdf/index.html?url=https://static.uda.cn/pdf/report1/U603303/dsf4.pdf
【SGS 第三方检测（稳定性）婴幼少儿 DHA 藻油（批号 U603303）.pdf：https://static.uda.cn/pdf/index.html?url=https://static.uda.cn/pdf/report1/U603303/dsf5.pdf
【SGS 第三方检测（成分和过敏原）婴幼少儿 DHA 藻油（批号 U603303）.pdf：https://static.uda.cn/pdf/index.html?url=https://static.uda.cn/pdf/report1/U603303/dsf6.pdf
【SGS 第三方检测（农残）婴幼少儿 DHA 藻油（批号 U603303）.pdf：https://static.uda.cn/pdf/index.html?url=https://static.uda.cn/pdf/report1/U603303/dsf7.pdf
【SGS 第三方检测（塑化剂）婴幼少儿 DHA 藻油（批号 U603303）.pdf：https://static.uda.cn/pdf/index.html?url=https://static.uda.cn/pdf/report1/U603303/dsf8.pdf</t>
  </si>
  <si>
    <t>【SGS 英文报告（二噁英多氯联苯污染物）婴幼少儿 DHA 藻油（批号 U603303）.pdf：https://static.uda.cn/pdf/index.html?url=https://static.uda.cn/pdf/report1/U603303/SGS1.pdf
【SGS 英文报告（防腐剂）婴幼少儿 DHA 藻油（批号 U603303）.pdf：https://static.uda.cn/pdf/index.html?url=https://static.uda.cn/pdf/report1/U603303/SGS2.pdf
【SGS 英文报告（放射性物质）婴幼少儿 DHA 藻油（批号 U603303）.pdf：https://static.uda.cn/pdf/index.html?url=https://static.uda.cn/pdf/report1/U603303/SGS3.pdf
【SGS 英文报告（重金属微生物）婴幼少儿 DHA 藻油（批号 U603303）.pdf：https://static.uda.cn/pdf/index.html?url=https://static.uda.cn/pdf/report1/U603303/SGS4.pdf
【SGS 英文报告（稳定性）婴幼少儿 DHA 藻油（批号 U603303）.pdf：https://static.uda.cn/pdf/index.html?url=https://static.uda.cn/pdf/report1/U603303/SGS5.pdf
【SGS 英文报告（成分和过敏原）婴幼少儿 DHA 藻油（批号 U603303）.pdf：https://static.uda.cn/pdf/index.html?url=https://static.uda.cn/pdf/report1/U603303/SGS6.pdf
【SGS 英文报告（农残）婴幼少儿 DHA 藻油（批号 U603303）.pdf：https://static.uda.cn/pdf/index.html?url=https://static.uda.cn/pdf/report1/U603303/SGS7.pdf
【SGS 英文报告（塑化剂）婴幼少儿 DHA 藻油（批号 U603303）.pdf：https://static.uda.cn/pdf/index.html?url=https://static.uda.cn/pdf/report1/U603303/SGS8.pdf</t>
  </si>
  <si>
    <t>240</t>
  </si>
  <si>
    <t>【香港佳力高出厂报告】姜黄素（批号UCF0116401）.pdf：https://static.uda.cn/pdf/index.html?url=https://static.uda.cn/pdf/report1/UCF0116401/ccbg1.pdf</t>
  </si>
  <si>
    <t>【SGS 第三方检测（重金属+微生物）】姜黄素（批号 UCF0116401）.pdf：https://static.uda.cn/pdf/index.html?url=https://static.uda.cn/pdf/report1/UCF0116401/dsf1.pdf
【SGS 第三方检测（铬、镉）】姜黄素（批号 UCF0116401）.pdf：https://static.uda.cn/pdf/index.html?url=https://static.uda.cn/pdf/report1/UCF0116401/dsf2.pdf
【SGS 第三方检测（姜黄素含量）】姜黄素（批号 UCF0116401）.pdf：https://static.uda.cn/pdf/index.html?url=https://static.uda.cn/pdf/report1/UCF0116401/dsf3.pdf</t>
  </si>
  <si>
    <t>【SGS 英文报告（重金属+微生物）】姜黄素（批号 UCF0116401）.pdf：https://static.uda.cn/pdf/index.html?url=https://static.uda.cn/pdf/report1/UCF0116401/SGS1.pdf
【SGS 英文报告（姜黄素含量）】姜黄素（批号 UCF0116401）.pdf：https://static.uda.cn/pdf/index.html?url=https://static.uda.cn/pdf/report1/UCF0116401/SGS2.pdf
【SGS 英文报告（铬、镉）】姜黄素（批号 UCF0116401）.pdf：https://static.uda.cn/pdf/index.html?url=https://static.uda.cn/pdf/report1/UCF0116401/SGS3.pdf</t>
  </si>
  <si>
    <t>COA-BCM95.pdf：https://static.uda.cn/pdf/index.html?url=https://static.uda.cn/pdf/report1/UCF0116401/COA1.pdf</t>
  </si>
  <si>
    <t>241</t>
  </si>
  <si>
    <t>AZ0116401</t>
  </si>
  <si>
    <t>【香港佳力高出厂报告】虾青素（批号 AZ0116401）.pdf：https://static.uda.cn/pdf/index.html?url=https://static.uda.cn/pdf/report1/AZ0116401/ccbg1.pdf</t>
  </si>
  <si>
    <t>【SGS 第三方检测（重金属+微生物+维生素E含量）】虾青素（批号 AZ0116401）.pdf：https://static.uda.cn/pdf/index.html?url=https://static.uda.cn/pdf/report1/AZ0116401/dsf1.pdf
【SGS 第三方检测（塑化剂）】虾青素（批号 AZ0116401）.pdf：https://static.uda.cn/pdf/index.html?url=https://static.uda.cn/pdf/report1/AZ0116401/dsf2.pdf
【SGS 第三方检测（虾青素含量）】虾青素（批号 AZ0116401）.pdf：https://static.uda.cn/pdf/index.html?url=https://static.uda.cn/pdf/report1/AZ0116401/dsf3.pdf</t>
  </si>
  <si>
    <t>【SGS 英文报告（重金属+微生物+维生素E含量）】虾青素（批号 AZ0116401）.pdf：https://static.uda.cn/pdf/index.html?url=https://static.uda.cn/pdf/report1/AZ0116401/SGS1.pdf
【SGS 英文报告（塑化剂）】虾青素（批号 AZ0116401）.pdf：https://static.uda.cn/pdf/index.html?url=https://static.uda.cn/pdf/report1/AZ0116401/SGS2.pdf
【SGS 英文报告（虾青素含量）】虾青素（批号 AZ0116401）.pdf：https://static.uda.cn/pdf/index.html?url=https://static.uda.cn/pdf/report1/AZ0116401/SGS3.pdf</t>
  </si>
  <si>
    <t/>
  </si>
  <si>
    <t>发货时间</t>
  </si>
  <si>
    <t>文案</t>
  </si>
  <si>
    <t>情况一</t>
  </si>
  <si>
    <t>“现货”</t>
  </si>
  <si>
    <t>必为空</t>
  </si>
  <si>
    <t xml:space="preserve">您好，【{product_name}】是现货即发的产品，下单后 1-2 天发货，快递揽收约 3-5 天，入境流程约 3-10 天。近期因五一假期 + 直邮订单量激增，口岸高负荷运转，部分订单有积压延误，辛苦您耐心等待哦~ </t>
  </si>
  <si>
    <t>情况二</t>
  </si>
  <si>
    <t>“众筹”</t>
  </si>
  <si>
    <t>必有值</t>
  </si>
  <si>
    <t>您好，【{product_name}】为众筹产品，众筹截止日期为【{updated_ship_time}】，众筹结束时如果成功会进入生产阶段，如果失败则全额退款。如果您方便的话可以多多宣传扩散，有助于众筹早日成功哈~
为了回馈您的耐心等待，营养工厂上线“等待积分”补偿机制:1.下单后每等待1天可获得30积分，即使取消订单也会按照实际等待时间发放2.等待积分会在【发货】或【取消订单】后3小时左右到账，积分可用于兑换优惠券和部分商品</t>
  </si>
  <si>
    <t>情况三</t>
  </si>
  <si>
    <t>“生产中”</t>
  </si>
  <si>
    <t>空</t>
  </si>
  <si>
    <t>有值</t>
  </si>
  <si>
    <t>您好，【{product_name}】目前正在生产中，预计【{updated_ship_time}】更新生产进度或可发货日期，届时将更新在产品页面右上角和最底部；我们正在全力推进产能提升，争取早日发货~
为了回馈您的耐心等待，营养工厂上线“等待积分”补偿机制:1.下单后每等待1天可获得30积分，即使取消订单也会按照实际等待时间发放2.等待积分会在【发货】或【取消订单】后3小时左右到账，积分可用于兑换优惠券和部分商品</t>
  </si>
  <si>
    <t>情况四</t>
  </si>
  <si>
    <t>“未知”</t>
  </si>
  <si>
    <t>您好，非常感谢您对我们产品的信任与支持由于当前该产品下单后，等待发货的周期较长，为了保障大家的购物体验，我们暂时关闭了这款产品的下单通道我们正在全力提升产能，待产能充足、能够缩短发货周期后，会第一时间恢复产品的正常下单功能。当前您可以点击产品页下方的【开售提醒】，会在开售前收到消息通知哦~再次感谢您的理解与耐心等待～</t>
  </si>
  <si>
    <t>情况五</t>
  </si>
  <si>
    <t>“历史”</t>
  </si>
  <si>
    <t>您好，非常感谢您对我们产品的信任与支持由于【{product_name}】下单后，等待发货的周期较长，为了保障大家的购物体验，我们暂时关闭了这款产品的下单通道我们正在全力提升产能(历史订单预计 11 月发 新批次生产中)，待产能充足、能够缩短发货周期后，会第一时间恢复产品的正常下单功能。当前您可以点击产品页下方的【开售提醒】，会在开售前收到消息通知哦～再次感谢您的理解与耐心等待～</t>
  </si>
  <si>
    <t>情况六</t>
  </si>
  <si>
    <t>您好，【{product_name}】目前正在生产中，预计【{updated_ship_time}】发货；我们正在全力推进产能提升，争取早日发货~
为了回馈您的耐心等待，营养工厂上线“等待积分”补偿机制:1.下单后每等待1天可获得30积分，即使取消订单也会按照实际等待时间发放2.等待积分会在【发货】或【取消订单】后3小时左右到账，积分可用于兑换优惠券和部分商品</t>
  </si>
  <si>
    <t>情况七</t>
  </si>
  <si>
    <t>“预售”</t>
  </si>
  <si>
    <t>您好，【{product_name}】正在预售中，预计【{updated_ship_time}】发货哈~
为了回馈您的耐心等待，营养工厂上线“等待积分”补偿机制:1.下单后每等待1天可获得30积分，即使取消订单也会按照实际等待时间发放2.等待积分会在【发货】或【取消订单】后3小时左右到账，积分可用于兑换优惠券和部分商品</t>
  </si>
  <si>
    <t>订单类型</t>
  </si>
  <si>
    <t>话术</t>
  </si>
  <si>
    <t>物流状态停滞在“清关中”、“排队中”、“出库”，且停滞时间超过3天的订单</t>
  </si>
  <si>
    <t>非常抱歉让您久等了，这里向您诚恳说明一下情况。
近期受爆单、节假日及口岸货物积压影响，导致大批货物入境时效延迟，物流状态会停留在入境过程中或已出库状态，这不是您的订单有任何问题，是口岸的外部原因。
我们已采取多种方式，例如切换积压情况稍好的入境口岸、切换不同的物流商、协调口岸加急催促等，尽最大努力推进入境流程、争取早日将产品派送到您手中。
给您带来这么长时间的等待，真的很抱歉，感谢您的耐心和理解~</t>
  </si>
  <si>
    <t>列1</t>
  </si>
  <si>
    <t>使用产品</t>
  </si>
  <si>
    <t>资料汇总</t>
  </si>
  <si>
    <t>图片</t>
  </si>
  <si>
    <t>介绍</t>
  </si>
  <si>
    <t>网页介绍链接</t>
  </si>
  <si>
    <t>授权状态</t>
  </si>
  <si>
    <t>授权证书</t>
  </si>
  <si>
    <t>授权证书（0330更新）</t>
  </si>
  <si>
    <t>采购记录</t>
  </si>
  <si>
    <t>专利证书</t>
  </si>
  <si>
    <t>COA @Daniel  王超</t>
  </si>
  <si>
    <t>COA（0330更新）</t>
  </si>
  <si>
    <t>列13</t>
  </si>
  <si>
    <t>列14</t>
  </si>
  <si>
    <t>列15</t>
  </si>
  <si>
    <t>列13图片</t>
  </si>
  <si>
    <t>列14图片</t>
  </si>
  <si>
    <t>1. 世界上研究最多的姜黄素，有超过 18 年的安全记录，在 60 多个国家/地区拥有 300 多种配方应用
2. 全光谱提取的增强生物利用度的姜黄素，保留了姜黄中的多种活性成分，包括芳香姜黄酮，这些成分与姜黄素具有协同作用，增强整体效果。研究表明，BCM-95™的生物利用度是普通姜黄素的7倍以上。
3. 是唯一已发表详细毒性研究的姜黄素「1」
「1」系统全面地研究姜黄素-精油复合物的毒性：一种生物可吸收的姜黄配方，分子医学报告 13：592-604，2016 年）</t>
  </si>
  <si>
    <t>已授权</t>
  </si>
  <si>
    <t>❌</t>
  </si>
  <si>
    <t>16-29 EP2555787 (薑黃素).pdf
53. US10543277 (薑黃素).pdf
49. US 10159654 (薑黃素).pdf</t>
  </si>
  <si>
    <t>BCM95  COA 100Kg （对应产品批次号 UC0113601）.PDF
BCM95  COA 50Kg （对应产品批次号 UC0115801）.PDF
BCM95  COA 75Kg （对应产品批次号 UC0115802）.PDF
BCM95  COA 100Kg （对应产品批次号 UC0115803）.PDF</t>
  </si>
  <si>
    <t>@Jade</t>
  </si>
  <si>
    <t>1. Quercefit® 槲皮素的生物利用度比普通槲皮素提高了 20 倍，同等剂量下更有效。
2. Quercefit®有助于维护免疫系统的健康，针对 COVID-19 有潜在的预防作用，可以降低病毒感染风险，对于已感染病毒的人群，有减缓病程、缓解不适症状、帮助加快恢复的作用。
3. 临床研究表明 Quercefit ®可显著缓解过敏患者的眼鼻不适，提高整体生活质量。Quercefit ®可提高运动训练表现，平衡氧化应激。</t>
  </si>
  <si>
    <t>QUERCETIN PHOSPHOLIPID SFMD 槐米粉 COA （对应产品批次号QB0113601）.pdf
QUERCETIN PHOSPHOLIPID SFMD 槐米粉 COA（对应产品批次号 QB0113602）.pdf
QUERCETIN PHOSPHOLIPID SFMD 槐米粉 COA （对应产品批次号QC0115801）.pdf
QUERCETIN PHOSPHOLIPID SFMD 槐米粉 COA （对应产品批次号QC0115802；QC0115803）.pdf</t>
  </si>
  <si>
    <t>@Skye</t>
  </si>
  <si>
    <t>1. 来源自，南非醉茄根和叶子浓缩物，醉茄内酯浓度&gt;10%
2. 16 项人体临床研究，2项美国专利，专利号 US patents 6153198A 和 7318938B2</t>
  </si>
  <si>
    <t>US9393281 Composition of beta-glucan and ashwagandha (2033 April).pdf
US8329231 Method of preventing photo-aging with ashwagandha and Indian gooseberry (2029 Oct).pdf
US8206757 Composition of ashwagandha and indian gooseberry （2029 Oct）.pdf</t>
  </si>
  <si>
    <t>Kerry sensoril-COA（对应产品批次号906014463）.pdf
Kerry Sensoril COA（对应批次号AG0115801）.pdf</t>
  </si>
  <si>
    <t>1.  100% 纯亚精胺三盐酸盐，绿色合成工艺，非转基因，不含任何过敏原，无麸质。
2. 良好的应用性：相比仅含1%亚精胺的小麦胚芽提取物原料，SuperMide™ 中亚精胺含量是其50倍之多。</t>
  </si>
  <si>
    <t>还原型辅酶Q10</t>
  </si>
  <si>
    <t>1. 世界第一款「辅酶Q10」营养补充剂
2. 荣获亚太健康功能食品峰会(FFWS) "2024年度心血管健康成分奖"，
3. Kaneka还原型辅酶Q10™已被广泛应用于超过50个国家的1000多个专业渠道与非处方营养保健品牌。</t>
  </si>
  <si>
    <t>还原型辅酶Q10 COA.png</t>
  </si>
  <si>
    <t>1.Magtein（美格泰）®L-苏糖酸镁，由国际知名神经生物学家Guosong Liu（刘国松）教授在清华大学和麻省理工科学研究中所发现， 全球有超过100多家头部营养补充剂公司在使用Magtein®品牌
2. 多项研究证实，Magtein（美格泰）®L-苏糖酸镁能够显著改善大脑中的脑脊液镁水平、突触密度和可塑性，从而提升学习记忆力，在老年痴呆、焦虑抑郁、睡眠、大脑衰老、多动症、偏头痛、骨质疏松、女性更年期综合征（骨质疏松、焦虑抑郁、记忆减退、偏头痛等）等方面均有积极影响。
2. 自2010年上市以来,全球累计销售超过1500 吨Magtein®L-苏糖酸镁，折合产品 2800 多万瓶，长期食用人数 500 多万。
3. 获得 FDA 的批准 Magtein 用于治疗成人多动症的三期临床试验和治疗老年痴呆症的二期试验，2013年诺贝尔生理学奖获得者 Dr. Thomas Sudhof（托马斯·斯德霍夫）博士正在进行 Magtein 新药的临床研究。</t>
  </si>
  <si>
    <t>苏糖酸镁 专利.pdf</t>
  </si>
  <si>
    <t>image4.jpeg</t>
  </si>
  <si>
    <t>image5.jpeg</t>
  </si>
  <si>
    <t>1. AstaZine® 是一系列源自雨生红球藻的天然虾青素产品，采用全密闭光生物反应器进行微藻养殖、cGMP 工厂精细化生产
2. 是唯一使用两种工艺获得欧洲新食品原料认证的虾青素，在 FDA 备案有 239 项健康声明，且未遭异议
3. 拥有 7 项全球专利，发表 6 篇心脏、护眼、认知、情绪方向的临床实验论文</t>
  </si>
  <si>
    <t>WO2018064966A1.pdfUS10827775.pdfJP7329245B2.pdfEP3522903B1.pdfCN109789178B.pdf</t>
  </si>
  <si>
    <t>astazine虾青素原料COA（对应产品批次号U501034）.pdf</t>
  </si>
  <si>
    <t>1. Berbevis® 小檗碱复合物：专利复合配方（具芒小檗提取物 + 豌豆蛋白 + 葡萄籽提取物），搭载 Phytosome® 技术，有效提高小檗碱生物利用度 10 倍*。*相比较盐酸小檗碱，Berbevis® 小檗碱复合物吸收率大约高 10 倍（9.6）（基于等量有效小檗碱摄入）</t>
  </si>
  <si>
    <t>还未做</t>
  </si>
  <si>
    <t>NMN（β-烟酰胺单核苷酸）</t>
  </si>
  <si>
    <t>多项专利原料-邦泰</t>
  </si>
  <si>
    <t>image2.jpeg</t>
  </si>
  <si>
    <t>1. 23 项 NMN 授权发明专利
2. 是Cell 最早的NMN抗衰功能研究文章所使用的原料
3. 生物发酵工艺，Bonzyme全酶法，绿色环保，无有害溶剂残留
4. 通过美国 SELF GRAS 安全认证</t>
  </si>
  <si>
    <t>未提供</t>
  </si>
  <si>
    <t>1. FloraGLO® 叶黄素是全球研究最多的叶黄素品牌之一，支持其功效的科学研究超过 100 项。
2. 采用非转基因高生物利用度的游离型叶黄素，安全，易吸收，无需经过酶解过程。
3. 经过 AREDS2 「1」研究认可：在美国著名的AREDS2研究中，FloraGLO® 被选为指定叶黄素原料，证明了其在眼部健康中的重要作用。
AREDS2 研究指的是**“第二次年龄相关性眼病研究”（Age-Related Eye Disease Study 2，简称AREDS2）**。这是由美国国家眼科研究所（National Eye Institute，NEI）主导的一项大型、多中心、随机化临床试验，旨在评估特定的维生素和矿物质配方对年龄相关性黄斑变性（AMD）和白内障等眼部疾病的影响。</t>
  </si>
  <si>
    <t>1. 中科院有机化学所技术研发落地，纯度高达 99.9%，绿色发酵生产工艺
2. 获得 GRAS 安全认证，有10+ 发明专利申请，4项临床试验，验证其有效性</t>
  </si>
  <si>
    <t>上海中科麦角硫因-COA_副本.pdf</t>
  </si>
  <si>
    <t>喜来芝玛卡</t>
  </si>
  <si>
    <t>1. PrimaVie是一种纯化的、专利喜来芝提取物，多项临床证明其可提升睾酮、促进生殖力及支持肌肉修复和再生。
2. 来自喜马拉雅山的纯化喜来芝含有二苯并-α-吡喃酮 (DBP)、DBP-色素蛋白 (DCP)、黄腐酸和 40 种矿物质，重金属含量极低，这些物质协同作用可带来众多健康益处。印度河流域的文明已经使用喜来芝超过 5000 年。</t>
  </si>
  <si>
    <t>AKK寿瘦菌</t>
  </si>
  <si>
    <t>image10.jpeg</t>
  </si>
  <si>
    <t>1. 来自国内头部 Akk 菌生产商 善恩康，该企业有多项发明专利，其 Akk 菌的全基因组鉴定命名为 Akk PROBIO，保藏于中国微生物菌种保藏管理委员会普通微生物中心，保藏编号为CGMCC No.20955。
2. AKK PROBIO 菌获得 GRAS 安全认证，有多项发明专利申请及临床研究</t>
  </si>
  <si>
    <t>中国发明专利——一种Akkermansia muciniphila及其产品和应用pdf.pdf
2. Akkermansiamuciniphila在制备预防治疗和或辅助治疗心血管疾病的产品中的应用_ZL202311048099.8-发明专利证书.pdf
4. Akkermansia muciniphila在制备预防、治疗和或辅助治疗肠炎的产品中的应用_ZL 202311049048.7.pdf
5. Akkermansia muciniphila关节炎_2023110490152.pdf</t>
  </si>
  <si>
    <t>✅</t>
  </si>
  <si>
    <t>1. Life'sDHA 是全球知名的高纯度藻油DHA品牌，由国际营养巨头 帝斯曼（DSM） 研发生产
2. 通过FDA GRAS（公认安全认证）、欧盟EFSA、中国卫健委等全球多国监管机构认可。无污染风险：不含EPA（鱼油中常见），避免干扰婴幼儿ARA吸收；且通过重金属、塑化剂等严格检测。
3. 全球绝大多数 的头部婴幼儿奶粉品牌（如美赞臣、惠氏）使用 Life'sDHA 作为 DHA 添加剂，证明其安全性及可靠性
4. 目前帝斯曼已经拥有全球 131 篇关于藻油DHA研究的文献。life’sDHA™ 是全球 DHA 领域临床最多开展临床研究的企业，多达超过 200 项人体临床研究证实life’sDHA™的安全性和健康益处。</t>
  </si>
  <si>
    <t>未授权</t>
  </si>
  <si>
    <t>1.Pylopass™ （罗伊氏粘液乳杆菌 DSMZ 17648）是针对胃部幽门螺杆菌的安全、自然解决方案。Pylopass™ 在全球开展了10+临床试验，充分验证了菌株的安全性及有效性。罗伊氏粘液乳杆菌（原罗伊氏乳杆菌）的安全性被欧盟认定具有“安全资格认定”（QPS）状态。Pylopass™也获得了美国食品药品管理局（FDA）授予的“一般认为安全” （GRAS）认证。
2. 在德国、爱尔兰、俄罗斯、罗马尼亚、中国和印度等国开展的 10+ 临床研究证明Pylopass™有助于减少胃中的幽门螺杆菌负荷量，能够缓解幽门螺杆菌患者的胃肠道不适。Pylopass™也有助于为幽门螺杆菌感染者提供营养健康支持，包括：减少幽门螺杆菌感染者的胃部和肠道不适、保护胃黏膜、舒缓胃部/肠道不适、支持消化健康和微生物菌群健康。
3. 来自诺维信和科汉森两家头部生物制药原料企业</t>
  </si>
  <si>
    <t>还未生产不涉及</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</si>
</sst>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
  </numFmts>
  <fonts count="23">
    <font>
      <sz val="11"/>
      <color theme="1"/>
      <name val="DengXian"/>
      <charset val="134"/>
    </font>
    <font>
      <sz val="10"/>
      <name val="Calibri"/>
      <charset val="134"/>
    </font>
    <font>
      <u/>
      <sz val="11"/>
      <color rgb="FF0000FF"/>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Alignment="1">
      <alignment vertical="center"/>
    </xf>
    <xf numFmtId="0" fontId="2" fillId="0" borderId="0" xfId="0" applyFont="1"/>
    <xf numFmtId="176" fontId="0" fillId="0" borderId="0" xfId="0" applyNumberFormat="1"/>
    <xf numFmtId="17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FBF4DF"/>
        </patternFill>
      </fill>
    </dxf>
    <dxf>
      <fill>
        <patternFill patternType="solid">
          <bgColor rgb="FFFFF3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topLeftCell="A21" workbookViewId="0">
      <selection activeCell="A1" sqref="A1"/>
    </sheetView>
  </sheetViews>
  <sheetFormatPr defaultColWidth="9.64285714285714" defaultRowHeight="16.8"/>
  <cols>
    <col min="1" max="11" width="19" customWidth="1"/>
  </cols>
  <sheetData>
    <row r="1" ht="13" customHeight="1" spans="1:11">
      <c r="A1" s="1" t="s">
        <v>0</v>
      </c>
      <c r="B1" s="1" t="s">
        <v>1</v>
      </c>
      <c r="C1" s="1" t="s">
        <v>2</v>
      </c>
      <c r="D1" s="1" t="s">
        <v>3</v>
      </c>
      <c r="E1" s="1" t="s">
        <v>4</v>
      </c>
      <c r="F1" s="1" t="s">
        <v>5</v>
      </c>
      <c r="G1" s="1" t="s">
        <v>6</v>
      </c>
      <c r="H1" s="1" t="s">
        <v>7</v>
      </c>
      <c r="I1" s="1" t="s">
        <v>8</v>
      </c>
      <c r="J1" s="1" t="s">
        <v>9</v>
      </c>
      <c r="K1" s="1" t="s">
        <v>10</v>
      </c>
    </row>
    <row r="2" ht="25.5" customHeight="1" spans="1:11">
      <c r="A2" t="s">
        <v>11</v>
      </c>
      <c r="B2" t="s">
        <v>12</v>
      </c>
      <c r="C2" t="s">
        <v>13</v>
      </c>
      <c r="D2" t="s">
        <v>14</v>
      </c>
      <c r="F2" t="s">
        <v>15</v>
      </c>
      <c r="H2" s="4">
        <v>46099.4631134259</v>
      </c>
      <c r="I2" t="s">
        <v>16</v>
      </c>
      <c r="J2" s="4">
        <v>46150.5278009259</v>
      </c>
      <c r="K2" t="s">
        <v>16</v>
      </c>
    </row>
    <row r="3" ht="25.5" customHeight="1" spans="1:11">
      <c r="A3" t="s">
        <v>17</v>
      </c>
      <c r="B3" t="s">
        <v>18</v>
      </c>
      <c r="C3" t="s">
        <v>19</v>
      </c>
      <c r="F3" t="s">
        <v>15</v>
      </c>
      <c r="H3" s="4">
        <v>46099.4635300926</v>
      </c>
      <c r="I3" t="s">
        <v>16</v>
      </c>
      <c r="J3" s="4">
        <v>46156.8425115741</v>
      </c>
      <c r="K3" t="s">
        <v>16</v>
      </c>
    </row>
    <row r="4" ht="25.5" customHeight="1" spans="1:11">
      <c r="A4" t="s">
        <v>20</v>
      </c>
      <c r="B4" t="s">
        <v>21</v>
      </c>
      <c r="C4" t="s">
        <v>19</v>
      </c>
      <c r="F4" t="s">
        <v>15</v>
      </c>
      <c r="H4" s="4">
        <v>46099.4640509259</v>
      </c>
      <c r="I4" t="s">
        <v>16</v>
      </c>
      <c r="J4" s="4">
        <v>46099.4642476852</v>
      </c>
      <c r="K4" t="s">
        <v>16</v>
      </c>
    </row>
    <row r="5" ht="25.5" customHeight="1" spans="1:11">
      <c r="A5" t="s">
        <v>22</v>
      </c>
      <c r="B5" t="s">
        <v>23</v>
      </c>
      <c r="C5" t="s">
        <v>19</v>
      </c>
      <c r="F5" t="s">
        <v>15</v>
      </c>
      <c r="H5" s="4">
        <v>46099.4642476852</v>
      </c>
      <c r="I5" t="s">
        <v>16</v>
      </c>
      <c r="J5" s="4">
        <v>46099.4690740741</v>
      </c>
      <c r="K5" t="s">
        <v>16</v>
      </c>
    </row>
    <row r="6" ht="25.5" customHeight="1" spans="1:11">
      <c r="A6" t="s">
        <v>24</v>
      </c>
      <c r="B6" t="s">
        <v>25</v>
      </c>
      <c r="C6" t="s">
        <v>19</v>
      </c>
      <c r="F6" t="s">
        <v>15</v>
      </c>
      <c r="H6" s="4">
        <v>46099.4643981481</v>
      </c>
      <c r="I6" t="s">
        <v>16</v>
      </c>
      <c r="J6" s="4">
        <v>46099.4690740741</v>
      </c>
      <c r="K6" t="s">
        <v>16</v>
      </c>
    </row>
    <row r="7" ht="25.5" customHeight="1" spans="1:11">
      <c r="A7" t="s">
        <v>26</v>
      </c>
      <c r="B7" t="s">
        <v>27</v>
      </c>
      <c r="C7" t="s">
        <v>19</v>
      </c>
      <c r="F7" t="s">
        <v>15</v>
      </c>
      <c r="H7" s="4">
        <v>46099.4645138889</v>
      </c>
      <c r="I7" t="s">
        <v>16</v>
      </c>
      <c r="J7" s="4">
        <v>46099.4690740741</v>
      </c>
      <c r="K7" t="s">
        <v>16</v>
      </c>
    </row>
    <row r="8" ht="25.5" customHeight="1" spans="1:11">
      <c r="A8" t="s">
        <v>28</v>
      </c>
      <c r="B8" t="s">
        <v>29</v>
      </c>
      <c r="C8" t="s">
        <v>19</v>
      </c>
      <c r="F8" t="s">
        <v>15</v>
      </c>
      <c r="H8" s="4">
        <v>46099.4646412037</v>
      </c>
      <c r="I8" t="s">
        <v>16</v>
      </c>
      <c r="J8" s="4">
        <v>46114.6963541667</v>
      </c>
      <c r="K8" t="s">
        <v>30</v>
      </c>
    </row>
    <row r="9" ht="25.5" customHeight="1" spans="1:11">
      <c r="A9" t="s">
        <v>31</v>
      </c>
      <c r="B9" t="s">
        <v>32</v>
      </c>
      <c r="C9" t="s">
        <v>19</v>
      </c>
      <c r="F9" t="s">
        <v>15</v>
      </c>
      <c r="H9" s="4">
        <v>46099.4649884259</v>
      </c>
      <c r="I9" t="s">
        <v>16</v>
      </c>
      <c r="J9" s="4">
        <v>46099.4690740741</v>
      </c>
      <c r="K9" t="s">
        <v>16</v>
      </c>
    </row>
    <row r="10" ht="25.5" customHeight="1" spans="1:11">
      <c r="A10" t="s">
        <v>33</v>
      </c>
      <c r="B10" t="s">
        <v>33</v>
      </c>
      <c r="C10" t="s">
        <v>19</v>
      </c>
      <c r="F10" t="s">
        <v>15</v>
      </c>
      <c r="H10" s="4">
        <v>46099.4655439815</v>
      </c>
      <c r="I10" t="s">
        <v>16</v>
      </c>
      <c r="J10" s="4">
        <v>46099.4690740741</v>
      </c>
      <c r="K10" t="s">
        <v>16</v>
      </c>
    </row>
    <row r="11" ht="25.5" customHeight="1" spans="1:11">
      <c r="A11" t="s">
        <v>34</v>
      </c>
      <c r="B11" t="s">
        <v>34</v>
      </c>
      <c r="C11" t="s">
        <v>19</v>
      </c>
      <c r="F11" t="s">
        <v>15</v>
      </c>
      <c r="H11" s="4">
        <v>46099.4656944444</v>
      </c>
      <c r="I11" t="s">
        <v>16</v>
      </c>
      <c r="J11" s="4">
        <v>46099.4690740741</v>
      </c>
      <c r="K11" t="s">
        <v>16</v>
      </c>
    </row>
    <row r="12" ht="25.5" customHeight="1" spans="1:11">
      <c r="A12" t="s">
        <v>35</v>
      </c>
      <c r="B12" t="s">
        <v>36</v>
      </c>
      <c r="C12" t="s">
        <v>13</v>
      </c>
      <c r="E12" t="s">
        <v>37</v>
      </c>
      <c r="F12" t="s">
        <v>15</v>
      </c>
      <c r="H12" s="4">
        <v>46099.465787037</v>
      </c>
      <c r="I12" t="s">
        <v>16</v>
      </c>
      <c r="J12" s="4">
        <v>46132.4707291667</v>
      </c>
      <c r="K12" t="s">
        <v>16</v>
      </c>
    </row>
    <row r="13" ht="25.5" customHeight="1" spans="1:11">
      <c r="A13" t="s">
        <v>38</v>
      </c>
      <c r="B13" t="s">
        <v>38</v>
      </c>
      <c r="C13" t="s">
        <v>19</v>
      </c>
      <c r="F13" t="s">
        <v>15</v>
      </c>
      <c r="H13" s="4">
        <v>46099.4658680556</v>
      </c>
      <c r="I13" t="s">
        <v>16</v>
      </c>
      <c r="J13" s="4">
        <v>46099.4690740741</v>
      </c>
      <c r="K13" t="s">
        <v>16</v>
      </c>
    </row>
    <row r="14" ht="25.5" customHeight="1" spans="1:11">
      <c r="A14" t="s">
        <v>39</v>
      </c>
      <c r="B14" t="s">
        <v>40</v>
      </c>
      <c r="C14" t="s">
        <v>19</v>
      </c>
      <c r="F14" t="s">
        <v>15</v>
      </c>
      <c r="H14" s="4">
        <v>46099.4658796296</v>
      </c>
      <c r="I14" t="s">
        <v>16</v>
      </c>
      <c r="J14" s="4">
        <v>46099.4690740741</v>
      </c>
      <c r="K14" t="s">
        <v>16</v>
      </c>
    </row>
    <row r="15" ht="25.5" customHeight="1" spans="1:11">
      <c r="A15" t="s">
        <v>41</v>
      </c>
      <c r="B15" t="s">
        <v>42</v>
      </c>
      <c r="C15" t="s">
        <v>19</v>
      </c>
      <c r="F15" t="s">
        <v>15</v>
      </c>
      <c r="H15" s="4">
        <v>46099.4661458333</v>
      </c>
      <c r="I15" t="s">
        <v>16</v>
      </c>
      <c r="J15" s="4">
        <v>46099.4690740741</v>
      </c>
      <c r="K15" t="s">
        <v>16</v>
      </c>
    </row>
    <row r="16" ht="25.5" customHeight="1" spans="1:11">
      <c r="A16" t="s">
        <v>43</v>
      </c>
      <c r="B16" t="s">
        <v>44</v>
      </c>
      <c r="C16" t="s">
        <v>19</v>
      </c>
      <c r="F16" t="s">
        <v>15</v>
      </c>
      <c r="H16" s="4">
        <v>46099.4662731482</v>
      </c>
      <c r="I16" t="s">
        <v>16</v>
      </c>
      <c r="J16" s="4">
        <v>46099.4690740741</v>
      </c>
      <c r="K16" t="s">
        <v>16</v>
      </c>
    </row>
    <row r="17" ht="25.5" customHeight="1" spans="1:11">
      <c r="A17" t="s">
        <v>45</v>
      </c>
      <c r="B17" t="s">
        <v>45</v>
      </c>
      <c r="C17" t="s">
        <v>19</v>
      </c>
      <c r="F17" t="s">
        <v>15</v>
      </c>
      <c r="H17" s="4">
        <v>46099.4663773148</v>
      </c>
      <c r="I17" t="s">
        <v>16</v>
      </c>
      <c r="J17" s="4">
        <v>46099.4690740741</v>
      </c>
      <c r="K17" t="s">
        <v>16</v>
      </c>
    </row>
    <row r="18" ht="25.5" customHeight="1" spans="1:11">
      <c r="A18" t="s">
        <v>46</v>
      </c>
      <c r="B18" t="s">
        <v>47</v>
      </c>
      <c r="C18" t="s">
        <v>19</v>
      </c>
      <c r="F18" t="s">
        <v>15</v>
      </c>
      <c r="H18" s="4">
        <v>46099.4664814815</v>
      </c>
      <c r="I18" t="s">
        <v>16</v>
      </c>
      <c r="J18" s="4">
        <v>46099.4690740741</v>
      </c>
      <c r="K18" t="s">
        <v>16</v>
      </c>
    </row>
    <row r="19" ht="25.5" customHeight="1" spans="1:11">
      <c r="A19" t="s">
        <v>48</v>
      </c>
      <c r="B19" t="s">
        <v>48</v>
      </c>
      <c r="C19" t="s">
        <v>19</v>
      </c>
      <c r="F19" t="s">
        <v>15</v>
      </c>
      <c r="H19" s="4">
        <v>46099.4666087963</v>
      </c>
      <c r="I19" t="s">
        <v>16</v>
      </c>
      <c r="J19" s="4">
        <v>46099.4690740741</v>
      </c>
      <c r="K19" t="s">
        <v>16</v>
      </c>
    </row>
    <row r="20" ht="25.5" customHeight="1" spans="1:11">
      <c r="A20" t="s">
        <v>49</v>
      </c>
      <c r="B20" t="s">
        <v>50</v>
      </c>
      <c r="C20" t="s">
        <v>19</v>
      </c>
      <c r="F20" t="s">
        <v>15</v>
      </c>
      <c r="H20" s="4">
        <v>46099.4666550926</v>
      </c>
      <c r="I20" t="s">
        <v>16</v>
      </c>
      <c r="J20" s="4">
        <v>46099.4690740741</v>
      </c>
      <c r="K20" t="s">
        <v>16</v>
      </c>
    </row>
    <row r="21" ht="25.5" customHeight="1" spans="1:11">
      <c r="A21" t="s">
        <v>51</v>
      </c>
      <c r="B21" t="s">
        <v>52</v>
      </c>
      <c r="C21" t="s">
        <v>19</v>
      </c>
      <c r="F21" t="s">
        <v>15</v>
      </c>
      <c r="H21" s="4">
        <v>46099.4667592593</v>
      </c>
      <c r="I21" t="s">
        <v>16</v>
      </c>
      <c r="J21" s="4">
        <v>46099.4690740741</v>
      </c>
      <c r="K21" t="s">
        <v>16</v>
      </c>
    </row>
    <row r="22" ht="25.5" customHeight="1" spans="1:11">
      <c r="A22" t="s">
        <v>53</v>
      </c>
      <c r="B22" t="s">
        <v>54</v>
      </c>
      <c r="C22" t="s">
        <v>19</v>
      </c>
      <c r="F22" t="s">
        <v>15</v>
      </c>
      <c r="H22" s="4">
        <v>46099.4669444444</v>
      </c>
      <c r="I22" t="s">
        <v>16</v>
      </c>
      <c r="J22" s="4">
        <v>46099.4690740741</v>
      </c>
      <c r="K22" t="s">
        <v>16</v>
      </c>
    </row>
    <row r="23" ht="25.5" customHeight="1" spans="1:11">
      <c r="A23" t="s">
        <v>55</v>
      </c>
      <c r="B23" t="s">
        <v>55</v>
      </c>
      <c r="C23" t="s">
        <v>19</v>
      </c>
      <c r="F23" t="s">
        <v>15</v>
      </c>
      <c r="H23" s="4">
        <v>46099.4670717593</v>
      </c>
      <c r="I23" t="s">
        <v>16</v>
      </c>
      <c r="J23" s="4">
        <v>46140.7625578704</v>
      </c>
      <c r="K23" t="s">
        <v>16</v>
      </c>
    </row>
    <row r="24" ht="25.5" customHeight="1" spans="1:11">
      <c r="A24" t="s">
        <v>56</v>
      </c>
      <c r="B24" t="s">
        <v>56</v>
      </c>
      <c r="C24" t="s">
        <v>19</v>
      </c>
      <c r="F24" t="s">
        <v>15</v>
      </c>
      <c r="H24" s="4">
        <v>46099.4671412037</v>
      </c>
      <c r="I24" t="s">
        <v>16</v>
      </c>
      <c r="J24" s="4">
        <v>46099.4690740741</v>
      </c>
      <c r="K24" t="s">
        <v>16</v>
      </c>
    </row>
    <row r="25" ht="25.5" customHeight="1" spans="1:11">
      <c r="A25" t="s">
        <v>57</v>
      </c>
      <c r="B25" t="s">
        <v>58</v>
      </c>
      <c r="C25" t="s">
        <v>19</v>
      </c>
      <c r="F25" t="s">
        <v>15</v>
      </c>
      <c r="H25" s="4">
        <v>46099.4672106481</v>
      </c>
      <c r="I25" t="s">
        <v>16</v>
      </c>
      <c r="J25" s="4">
        <v>46099.4690740741</v>
      </c>
      <c r="K25" t="s">
        <v>16</v>
      </c>
    </row>
    <row r="26" ht="25.5" customHeight="1" spans="1:11">
      <c r="A26" t="s">
        <v>59</v>
      </c>
      <c r="B26" t="s">
        <v>60</v>
      </c>
      <c r="C26" t="s">
        <v>19</v>
      </c>
      <c r="F26" t="s">
        <v>15</v>
      </c>
      <c r="H26" s="4">
        <v>46099.4673958333</v>
      </c>
      <c r="I26" t="s">
        <v>16</v>
      </c>
      <c r="J26" s="4">
        <v>46099.4690740741</v>
      </c>
      <c r="K26" t="s">
        <v>16</v>
      </c>
    </row>
    <row r="27" ht="25.5" customHeight="1" spans="1:11">
      <c r="A27" t="s">
        <v>61</v>
      </c>
      <c r="B27" t="s">
        <v>62</v>
      </c>
      <c r="C27" t="s">
        <v>19</v>
      </c>
      <c r="F27" t="s">
        <v>15</v>
      </c>
      <c r="H27" s="4">
        <v>46099.4675462963</v>
      </c>
      <c r="I27" t="s">
        <v>16</v>
      </c>
      <c r="J27" s="4">
        <v>46099.4690740741</v>
      </c>
      <c r="K27" t="s">
        <v>16</v>
      </c>
    </row>
    <row r="28" ht="25.5" customHeight="1" spans="1:11">
      <c r="A28" t="s">
        <v>63</v>
      </c>
      <c r="B28" t="s">
        <v>64</v>
      </c>
      <c r="C28" t="s">
        <v>19</v>
      </c>
      <c r="F28" t="s">
        <v>15</v>
      </c>
      <c r="H28" s="4">
        <v>46099.4677083333</v>
      </c>
      <c r="I28" t="s">
        <v>16</v>
      </c>
      <c r="J28" s="4">
        <v>46148.5081481481</v>
      </c>
      <c r="K28" t="s">
        <v>16</v>
      </c>
    </row>
    <row r="29" ht="25.5" customHeight="1" spans="1:11">
      <c r="A29" t="s">
        <v>65</v>
      </c>
      <c r="B29" t="s">
        <v>66</v>
      </c>
      <c r="C29" t="s">
        <v>19</v>
      </c>
      <c r="F29" t="s">
        <v>15</v>
      </c>
      <c r="H29" s="4">
        <v>46099.4678703704</v>
      </c>
      <c r="I29" t="s">
        <v>16</v>
      </c>
      <c r="J29" s="4">
        <v>46148.5080555556</v>
      </c>
      <c r="K29" t="s">
        <v>16</v>
      </c>
    </row>
    <row r="30" ht="25.5" customHeight="1" spans="1:11">
      <c r="A30" t="s">
        <v>67</v>
      </c>
      <c r="B30" t="s">
        <v>68</v>
      </c>
      <c r="C30" t="s">
        <v>19</v>
      </c>
      <c r="F30" t="s">
        <v>15</v>
      </c>
      <c r="H30" s="4">
        <v>46099.4679976852</v>
      </c>
      <c r="I30" t="s">
        <v>16</v>
      </c>
      <c r="J30" s="4">
        <v>46099.4690740741</v>
      </c>
      <c r="K30" t="s">
        <v>16</v>
      </c>
    </row>
    <row r="31" ht="25.5" customHeight="1" spans="1:11">
      <c r="A31" t="s">
        <v>69</v>
      </c>
      <c r="B31" t="s">
        <v>70</v>
      </c>
      <c r="C31" t="s">
        <v>13</v>
      </c>
      <c r="D31" t="s">
        <v>37</v>
      </c>
      <c r="F31" t="s">
        <v>15</v>
      </c>
      <c r="H31" s="4">
        <v>46099.4681944444</v>
      </c>
      <c r="I31" t="s">
        <v>16</v>
      </c>
      <c r="J31" s="4">
        <v>46108.4737962963</v>
      </c>
      <c r="K31" t="s">
        <v>16</v>
      </c>
    </row>
    <row r="32" ht="25.5" customHeight="1" spans="1:11">
      <c r="A32" t="s">
        <v>71</v>
      </c>
      <c r="B32" t="s">
        <v>72</v>
      </c>
      <c r="C32" t="s">
        <v>19</v>
      </c>
      <c r="F32" t="s">
        <v>15</v>
      </c>
      <c r="H32" s="4">
        <v>46099.4685069444</v>
      </c>
      <c r="I32" t="s">
        <v>16</v>
      </c>
      <c r="J32" s="4">
        <v>46128.580787037</v>
      </c>
      <c r="K32" t="s">
        <v>16</v>
      </c>
    </row>
    <row r="33" ht="25.5" customHeight="1" spans="1:11">
      <c r="A33" t="s">
        <v>73</v>
      </c>
      <c r="B33" t="s">
        <v>74</v>
      </c>
      <c r="C33" t="s">
        <v>19</v>
      </c>
      <c r="F33" t="s">
        <v>15</v>
      </c>
      <c r="G33" t="s">
        <v>75</v>
      </c>
      <c r="H33" s="4">
        <v>46099.4686342593</v>
      </c>
      <c r="I33" t="s">
        <v>16</v>
      </c>
      <c r="J33" s="4">
        <v>46112.8622685185</v>
      </c>
      <c r="K33" t="s">
        <v>16</v>
      </c>
    </row>
    <row r="34" ht="25.5" customHeight="1" spans="1:11">
      <c r="A34" t="s">
        <v>76</v>
      </c>
      <c r="B34" t="s">
        <v>77</v>
      </c>
      <c r="C34" t="s">
        <v>19</v>
      </c>
      <c r="F34" t="s">
        <v>15</v>
      </c>
      <c r="H34" s="4">
        <v>46099.4696180556</v>
      </c>
      <c r="I34" t="s">
        <v>16</v>
      </c>
      <c r="J34" s="4">
        <v>46139.6524305556</v>
      </c>
      <c r="K34" t="s">
        <v>16</v>
      </c>
    </row>
    <row r="35" ht="25.5" customHeight="1" spans="1:11">
      <c r="A35" t="s">
        <v>78</v>
      </c>
      <c r="B35" t="s">
        <v>78</v>
      </c>
      <c r="C35" t="s">
        <v>19</v>
      </c>
      <c r="F35" t="s">
        <v>15</v>
      </c>
      <c r="H35" s="4">
        <v>46099.4712962963</v>
      </c>
      <c r="I35" t="s">
        <v>16</v>
      </c>
      <c r="J35" s="4">
        <v>46128.5793634259</v>
      </c>
      <c r="K35" t="s">
        <v>16</v>
      </c>
    </row>
    <row r="36" ht="25.5" customHeight="1" spans="1:11">
      <c r="A36" t="s">
        <v>79</v>
      </c>
      <c r="B36" t="s">
        <v>80</v>
      </c>
      <c r="C36" t="s">
        <v>19</v>
      </c>
      <c r="F36" t="s">
        <v>15</v>
      </c>
      <c r="H36" s="4">
        <v>46099.471412037</v>
      </c>
      <c r="I36" t="s">
        <v>16</v>
      </c>
      <c r="J36" s="4">
        <v>46113.8380787037</v>
      </c>
      <c r="K36" t="s">
        <v>16</v>
      </c>
    </row>
    <row r="37" ht="25.5" customHeight="1" spans="1:11">
      <c r="A37" t="s">
        <v>81</v>
      </c>
      <c r="B37" t="s">
        <v>81</v>
      </c>
      <c r="C37" t="s">
        <v>13</v>
      </c>
      <c r="E37" t="s">
        <v>82</v>
      </c>
      <c r="F37" t="s">
        <v>15</v>
      </c>
      <c r="H37" s="4">
        <v>46099.4715625</v>
      </c>
      <c r="I37" t="s">
        <v>16</v>
      </c>
      <c r="J37" s="4">
        <v>46145.467025463</v>
      </c>
      <c r="K37" t="s">
        <v>83</v>
      </c>
    </row>
    <row r="38" ht="25.5" customHeight="1" spans="1:11">
      <c r="A38" t="s">
        <v>84</v>
      </c>
      <c r="B38" t="s">
        <v>85</v>
      </c>
      <c r="C38" t="s">
        <v>13</v>
      </c>
      <c r="E38" t="s">
        <v>82</v>
      </c>
      <c r="F38" t="s">
        <v>15</v>
      </c>
      <c r="H38" s="4">
        <v>46099.4716550926</v>
      </c>
      <c r="I38" t="s">
        <v>16</v>
      </c>
      <c r="J38" s="4">
        <v>46111.7282407407</v>
      </c>
      <c r="K38" t="s">
        <v>16</v>
      </c>
    </row>
    <row r="39" ht="25.5" customHeight="1" spans="1:11">
      <c r="A39" t="s">
        <v>86</v>
      </c>
      <c r="B39" t="s">
        <v>87</v>
      </c>
      <c r="C39" t="s">
        <v>13</v>
      </c>
      <c r="E39" t="s">
        <v>82</v>
      </c>
      <c r="F39" t="s">
        <v>15</v>
      </c>
      <c r="H39" s="4">
        <v>46099.4719097222</v>
      </c>
      <c r="I39" t="s">
        <v>16</v>
      </c>
      <c r="J39" s="4">
        <v>46145.4669675926</v>
      </c>
      <c r="K39" t="s">
        <v>83</v>
      </c>
    </row>
    <row r="40" ht="25.5" customHeight="1" spans="1:11">
      <c r="A40" t="s">
        <v>88</v>
      </c>
      <c r="B40" t="s">
        <v>89</v>
      </c>
      <c r="C40" t="s">
        <v>13</v>
      </c>
      <c r="E40" t="s">
        <v>37</v>
      </c>
      <c r="F40" t="s">
        <v>15</v>
      </c>
      <c r="H40" s="4">
        <v>46099.4720138889</v>
      </c>
      <c r="I40" t="s">
        <v>16</v>
      </c>
      <c r="J40" s="4">
        <v>46148.4906481481</v>
      </c>
      <c r="K40" t="s">
        <v>16</v>
      </c>
    </row>
    <row r="41" ht="25.5" customHeight="1" spans="1:11">
      <c r="A41" t="s">
        <v>90</v>
      </c>
      <c r="B41" t="s">
        <v>91</v>
      </c>
      <c r="C41" t="s">
        <v>19</v>
      </c>
      <c r="F41" t="s">
        <v>15</v>
      </c>
      <c r="H41" s="4">
        <v>46099.4720949074</v>
      </c>
      <c r="I41" t="s">
        <v>16</v>
      </c>
      <c r="J41" s="4">
        <v>46145.4670833333</v>
      </c>
      <c r="K41" t="s">
        <v>83</v>
      </c>
    </row>
    <row r="42" ht="25.5" customHeight="1" spans="1:11">
      <c r="A42" t="s">
        <v>92</v>
      </c>
      <c r="B42" t="s">
        <v>92</v>
      </c>
      <c r="C42" t="s">
        <v>13</v>
      </c>
      <c r="E42" t="s">
        <v>82</v>
      </c>
      <c r="F42" t="s">
        <v>15</v>
      </c>
      <c r="H42" s="4">
        <v>46148.4844675926</v>
      </c>
      <c r="I42" t="s">
        <v>16</v>
      </c>
      <c r="J42" s="4">
        <v>46156.9088541667</v>
      </c>
      <c r="K42" t="s">
        <v>16</v>
      </c>
    </row>
    <row r="43" ht="25.5" customHeight="1" spans="1:11">
      <c r="A43" t="s">
        <v>93</v>
      </c>
      <c r="B43" t="s">
        <v>93</v>
      </c>
      <c r="C43" t="s">
        <v>13</v>
      </c>
      <c r="E43" t="s">
        <v>82</v>
      </c>
      <c r="F43" t="s">
        <v>15</v>
      </c>
      <c r="H43" s="4">
        <v>46148.486087963</v>
      </c>
      <c r="I43" t="s">
        <v>16</v>
      </c>
      <c r="J43" s="4">
        <v>46156.9090972222</v>
      </c>
      <c r="K43" t="s">
        <v>16</v>
      </c>
    </row>
    <row r="44" ht="25.5" customHeight="1" spans="1:11">
      <c r="A44" t="s">
        <v>94</v>
      </c>
      <c r="B44" t="s">
        <v>94</v>
      </c>
      <c r="C44" t="s">
        <v>13</v>
      </c>
      <c r="E44" t="s">
        <v>82</v>
      </c>
      <c r="F44" t="s">
        <v>15</v>
      </c>
      <c r="H44" s="4">
        <v>46148.4867708333</v>
      </c>
      <c r="I44" t="s">
        <v>16</v>
      </c>
      <c r="J44" s="4">
        <v>46156.9090972222</v>
      </c>
      <c r="K44" t="s">
        <v>16</v>
      </c>
    </row>
    <row r="45" ht="25.5" customHeight="1" spans="1:11">
      <c r="A45" t="s">
        <v>95</v>
      </c>
      <c r="B45" t="s">
        <v>95</v>
      </c>
      <c r="C45" t="s">
        <v>13</v>
      </c>
      <c r="E45" t="s">
        <v>96</v>
      </c>
      <c r="F45" t="s">
        <v>15</v>
      </c>
      <c r="H45" s="4">
        <v>46148.4878587963</v>
      </c>
      <c r="I45" t="s">
        <v>16</v>
      </c>
      <c r="J45" s="4">
        <v>46156.9093981481</v>
      </c>
      <c r="K45" t="s">
        <v>16</v>
      </c>
    </row>
    <row r="46" ht="25.5" customHeight="1" spans="1:11">
      <c r="A46" t="s">
        <v>97</v>
      </c>
      <c r="B46" t="s">
        <v>97</v>
      </c>
      <c r="C46" t="s">
        <v>13</v>
      </c>
      <c r="E46" t="s">
        <v>98</v>
      </c>
      <c r="F46" t="s">
        <v>15</v>
      </c>
      <c r="H46" s="4">
        <v>46148.4883564815</v>
      </c>
      <c r="I46" t="s">
        <v>16</v>
      </c>
      <c r="J46" s="4">
        <v>46148.4890972222</v>
      </c>
      <c r="K46" t="s">
        <v>16</v>
      </c>
    </row>
    <row r="47" ht="25.5" customHeight="1" spans="1:11">
      <c r="A47" t="s">
        <v>99</v>
      </c>
      <c r="B47" t="s">
        <v>99</v>
      </c>
      <c r="C47" t="s">
        <v>13</v>
      </c>
      <c r="E47" t="s">
        <v>98</v>
      </c>
      <c r="F47" t="s">
        <v>15</v>
      </c>
      <c r="H47" s="4">
        <v>46148.4891319444</v>
      </c>
      <c r="I47" t="s">
        <v>16</v>
      </c>
      <c r="J47" s="4">
        <v>46148.4895833333</v>
      </c>
      <c r="K47" t="s">
        <v>16</v>
      </c>
    </row>
    <row r="48" ht="25.5" customHeight="1" spans="1:11">
      <c r="A48" t="s">
        <v>100</v>
      </c>
      <c r="B48" t="s">
        <v>100</v>
      </c>
      <c r="C48" t="s">
        <v>13</v>
      </c>
      <c r="E48" t="s">
        <v>98</v>
      </c>
      <c r="F48" t="s">
        <v>15</v>
      </c>
      <c r="H48" s="4">
        <v>46148.4896064815</v>
      </c>
      <c r="I48" t="s">
        <v>16</v>
      </c>
      <c r="J48" s="4">
        <v>46148.490162037</v>
      </c>
      <c r="K48" t="s">
        <v>16</v>
      </c>
    </row>
    <row r="49" ht="25.5" customHeight="1" spans="1:11">
      <c r="A49" t="s">
        <v>101</v>
      </c>
      <c r="B49" t="s">
        <v>102</v>
      </c>
      <c r="C49" t="s">
        <v>19</v>
      </c>
      <c r="F49" t="s">
        <v>15</v>
      </c>
      <c r="G49" t="s">
        <v>103</v>
      </c>
      <c r="H49" s="4">
        <v>46153.5884837963</v>
      </c>
      <c r="I49" t="s">
        <v>16</v>
      </c>
      <c r="J49" s="4">
        <v>46164.8808333333</v>
      </c>
      <c r="K49" t="s">
        <v>16</v>
      </c>
    </row>
    <row r="50" ht="25.5" customHeight="1" spans="1:11">
      <c r="A50" t="s">
        <v>104</v>
      </c>
      <c r="B50" t="s">
        <v>104</v>
      </c>
      <c r="C50" t="s">
        <v>19</v>
      </c>
      <c r="F50" t="s">
        <v>15</v>
      </c>
      <c r="H50" s="4">
        <v>46167.4542939815</v>
      </c>
      <c r="I50" t="s">
        <v>16</v>
      </c>
      <c r="J50" s="4">
        <v>46167.4553240741</v>
      </c>
      <c r="K50" t="s">
        <v>16</v>
      </c>
    </row>
  </sheetData>
  <dataValidations count="2">
    <dataValidation type="list" sqref="C2:C49">
      <formula1>"现货,生产中,众筹中,预售"</formula1>
    </dataValidation>
    <dataValidation type="list" sqref="F2:F49">
      <formula1>"通用话术,自定义话术"</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1" sqref="A1"/>
    </sheetView>
  </sheetViews>
  <sheetFormatPr defaultColWidth="9.64285714285714" defaultRowHeight="16.8" outlineLevelRow="1" outlineLevelCol="5"/>
  <cols>
    <col min="1" max="6" width="19" customWidth="1"/>
  </cols>
  <sheetData>
    <row r="1" ht="13" customHeight="1" spans="1:6">
      <c r="A1" s="1" t="s">
        <v>105</v>
      </c>
      <c r="B1" s="1" t="s">
        <v>106</v>
      </c>
      <c r="C1" s="1" t="s">
        <v>107</v>
      </c>
      <c r="D1" s="1" t="s">
        <v>108</v>
      </c>
      <c r="E1" s="1" t="s">
        <v>109</v>
      </c>
      <c r="F1" s="1" t="s">
        <v>110</v>
      </c>
    </row>
    <row r="2" ht="25.5" customHeight="1" spans="1:6">
      <c r="E2" s="4"/>
      <c r="F2" s="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A1" sqref="A1"/>
    </sheetView>
  </sheetViews>
  <sheetFormatPr defaultColWidth="9.64285714285714" defaultRowHeight="16.8" outlineLevelCol="4"/>
  <cols>
    <col min="1" max="5" width="19" customWidth="1"/>
  </cols>
  <sheetData>
    <row r="1" ht="13" customHeight="1" spans="1:5">
      <c r="A1" s="1" t="s">
        <v>111</v>
      </c>
      <c r="B1" s="1" t="s">
        <v>112</v>
      </c>
      <c r="C1" s="1" t="s">
        <v>113</v>
      </c>
      <c r="D1" s="1" t="s">
        <v>114</v>
      </c>
      <c r="E1" s="1" t="s">
        <v>115</v>
      </c>
    </row>
    <row r="2" ht="38.25" customHeight="1" spans="1:5">
      <c r="A2" t="s">
        <v>116</v>
      </c>
      <c r="B2" t="s">
        <v>117</v>
      </c>
    </row>
    <row r="3" ht="38.25" customHeight="1" spans="1:5">
      <c r="A3" t="s">
        <v>116</v>
      </c>
      <c r="B3" t="s">
        <v>118</v>
      </c>
    </row>
    <row r="4" ht="38.25" customHeight="1" spans="1:5">
      <c r="A4" t="s">
        <v>116</v>
      </c>
      <c r="B4" t="s">
        <v>119</v>
      </c>
    </row>
    <row r="5" ht="38.25" customHeight="1" spans="1:5">
      <c r="A5" t="s">
        <v>116</v>
      </c>
      <c r="B5" t="s">
        <v>120</v>
      </c>
    </row>
    <row r="6" ht="38.25" customHeight="1" spans="1:5">
      <c r="A6" t="s">
        <v>121</v>
      </c>
      <c r="B6" t="s">
        <v>122</v>
      </c>
      <c r="C6" t="s">
        <v>123</v>
      </c>
      <c r="D6" t="s">
        <v>124</v>
      </c>
    </row>
    <row r="7" ht="38.25" customHeight="1" spans="1:5">
      <c r="A7" t="s">
        <v>121</v>
      </c>
      <c r="B7" t="s">
        <v>125</v>
      </c>
      <c r="C7" t="s">
        <v>123</v>
      </c>
      <c r="D7" t="s">
        <v>124</v>
      </c>
    </row>
    <row r="8" ht="38.25" customHeight="1" spans="1:5">
      <c r="A8" t="s">
        <v>121</v>
      </c>
      <c r="B8" t="s">
        <v>126</v>
      </c>
      <c r="C8" t="s">
        <v>123</v>
      </c>
      <c r="D8" t="s">
        <v>124</v>
      </c>
    </row>
    <row r="9" ht="38.25" customHeight="1" spans="1:5">
      <c r="A9" t="s">
        <v>121</v>
      </c>
      <c r="B9" t="s">
        <v>127</v>
      </c>
      <c r="C9" t="s">
        <v>123</v>
      </c>
      <c r="D9" t="s">
        <v>124</v>
      </c>
    </row>
    <row r="10" ht="38.25" customHeight="1" spans="1:5">
      <c r="A10" t="s">
        <v>121</v>
      </c>
      <c r="B10" t="s">
        <v>128</v>
      </c>
      <c r="C10" t="s">
        <v>123</v>
      </c>
      <c r="D10" t="s">
        <v>124</v>
      </c>
    </row>
    <row r="11" ht="38.25" customHeight="1" spans="1:5">
      <c r="A11" t="s">
        <v>121</v>
      </c>
      <c r="B11" t="s">
        <v>129</v>
      </c>
      <c r="C11" t="s">
        <v>123</v>
      </c>
      <c r="D11" t="s">
        <v>124</v>
      </c>
    </row>
    <row r="12" ht="38.25" customHeight="1" spans="1:5">
      <c r="A12" t="s">
        <v>121</v>
      </c>
      <c r="B12" t="s">
        <v>130</v>
      </c>
      <c r="C12" t="s">
        <v>123</v>
      </c>
      <c r="D12" t="s">
        <v>124</v>
      </c>
    </row>
    <row r="13" ht="38.25" customHeight="1" spans="1:5">
      <c r="A13" t="s">
        <v>131</v>
      </c>
      <c r="B13" t="s">
        <v>132</v>
      </c>
      <c r="C13" t="s">
        <v>123</v>
      </c>
      <c r="D13" t="s">
        <v>133</v>
      </c>
    </row>
    <row r="14" ht="38.25" customHeight="1" spans="1:5">
      <c r="A14" t="s">
        <v>131</v>
      </c>
      <c r="B14" t="s">
        <v>134</v>
      </c>
      <c r="C14" t="s">
        <v>123</v>
      </c>
      <c r="D14" t="s">
        <v>133</v>
      </c>
    </row>
    <row r="15" ht="38.25" customHeight="1" spans="1:5">
      <c r="A15" t="s">
        <v>131</v>
      </c>
      <c r="B15" t="s">
        <v>135</v>
      </c>
      <c r="C15" t="s">
        <v>123</v>
      </c>
      <c r="D15" t="s">
        <v>133</v>
      </c>
    </row>
    <row r="16" ht="38.25" customHeight="1" spans="1:5">
      <c r="A16" t="s">
        <v>131</v>
      </c>
      <c r="B16" t="s">
        <v>136</v>
      </c>
      <c r="C16" t="s">
        <v>123</v>
      </c>
      <c r="D16" t="s">
        <v>133</v>
      </c>
    </row>
    <row r="17" ht="38.25" customHeight="1" spans="1:4">
      <c r="A17" t="s">
        <v>131</v>
      </c>
      <c r="B17" t="s">
        <v>137</v>
      </c>
      <c r="C17" t="s">
        <v>123</v>
      </c>
      <c r="D17" t="s">
        <v>133</v>
      </c>
    </row>
    <row r="18" ht="38.25" customHeight="1" spans="1:4">
      <c r="A18" t="s">
        <v>138</v>
      </c>
      <c r="B18" t="s">
        <v>139</v>
      </c>
      <c r="C18" t="s">
        <v>123</v>
      </c>
      <c r="D18" t="s">
        <v>133</v>
      </c>
    </row>
    <row r="19" ht="38.25" customHeight="1" spans="1:4">
      <c r="A19" t="s">
        <v>138</v>
      </c>
      <c r="B19" t="s">
        <v>140</v>
      </c>
      <c r="C19" t="s">
        <v>123</v>
      </c>
      <c r="D19" t="s">
        <v>133</v>
      </c>
    </row>
    <row r="20" ht="38.25" customHeight="1" spans="1:4">
      <c r="A20" t="s">
        <v>138</v>
      </c>
      <c r="B20" t="s">
        <v>141</v>
      </c>
      <c r="C20" t="s">
        <v>123</v>
      </c>
      <c r="D20" t="s">
        <v>133</v>
      </c>
    </row>
    <row r="21" ht="38.25" customHeight="1" spans="1:4">
      <c r="A21" t="s">
        <v>138</v>
      </c>
      <c r="B21" t="s">
        <v>142</v>
      </c>
      <c r="C21" t="s">
        <v>123</v>
      </c>
      <c r="D21" t="s">
        <v>133</v>
      </c>
    </row>
    <row r="22" ht="38.25" customHeight="1" spans="1:4">
      <c r="A22" t="s">
        <v>138</v>
      </c>
      <c r="B22" t="s">
        <v>143</v>
      </c>
      <c r="C22" t="s">
        <v>123</v>
      </c>
      <c r="D22" t="s">
        <v>133</v>
      </c>
    </row>
    <row r="23" ht="38.25" customHeight="1"/>
    <row r="24" ht="38.25" customHeight="1"/>
    <row r="25" ht="38.25" customHeight="1"/>
    <row r="26" ht="38.25" customHeigh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53"/>
  <sheetViews>
    <sheetView workbookViewId="0">
      <selection activeCell="A1" sqref="A1"/>
    </sheetView>
  </sheetViews>
  <sheetFormatPr defaultColWidth="9.64285714285714" defaultRowHeight="16.8"/>
  <cols>
    <col min="1" max="44" width="19" customWidth="1"/>
  </cols>
  <sheetData>
    <row r="1" ht="13" customHeight="1" spans="1:44">
      <c r="A1" s="1" t="s">
        <v>0</v>
      </c>
      <c r="B1" s="1" t="s">
        <v>1</v>
      </c>
      <c r="C1" s="1" t="s">
        <v>144</v>
      </c>
      <c r="D1" s="1" t="s">
        <v>145</v>
      </c>
      <c r="E1" s="1" t="s">
        <v>146</v>
      </c>
      <c r="F1" s="1" t="s">
        <v>147</v>
      </c>
      <c r="G1" s="1" t="s">
        <v>148</v>
      </c>
      <c r="H1" s="1" t="s">
        <v>149</v>
      </c>
      <c r="I1" s="1" t="s">
        <v>150</v>
      </c>
      <c r="J1" s="1" t="s">
        <v>151</v>
      </c>
      <c r="K1" s="1" t="s">
        <v>152</v>
      </c>
      <c r="L1" s="1" t="s">
        <v>153</v>
      </c>
      <c r="M1" s="1" t="s">
        <v>154</v>
      </c>
      <c r="N1" s="1" t="s">
        <v>155</v>
      </c>
      <c r="O1" s="1" t="s">
        <v>156</v>
      </c>
      <c r="P1" s="1" t="s">
        <v>157</v>
      </c>
      <c r="Q1" s="1" t="s">
        <v>158</v>
      </c>
      <c r="R1" s="1" t="s">
        <v>159</v>
      </c>
      <c r="S1" s="1" t="s">
        <v>160</v>
      </c>
      <c r="T1" s="1" t="s">
        <v>161</v>
      </c>
      <c r="U1" s="1" t="s">
        <v>162</v>
      </c>
      <c r="V1" s="1" t="s">
        <v>163</v>
      </c>
      <c r="W1" s="1" t="s">
        <v>164</v>
      </c>
      <c r="X1" s="1" t="s">
        <v>165</v>
      </c>
      <c r="Y1" s="1" t="s">
        <v>166</v>
      </c>
      <c r="Z1" s="1" t="s">
        <v>167</v>
      </c>
      <c r="AA1" s="1" t="s">
        <v>168</v>
      </c>
      <c r="AB1" s="1" t="s">
        <v>169</v>
      </c>
      <c r="AC1" s="1" t="s">
        <v>170</v>
      </c>
      <c r="AD1" s="1" t="s">
        <v>171</v>
      </c>
      <c r="AE1" s="1" t="s">
        <v>172</v>
      </c>
      <c r="AF1" s="1" t="s">
        <v>173</v>
      </c>
      <c r="AG1" s="1" t="s">
        <v>174</v>
      </c>
      <c r="AH1" s="1" t="s">
        <v>175</v>
      </c>
      <c r="AI1" s="1" t="s">
        <v>176</v>
      </c>
      <c r="AJ1" s="1" t="s">
        <v>177</v>
      </c>
      <c r="AK1" s="1" t="s">
        <v>178</v>
      </c>
      <c r="AL1" s="1" t="s">
        <v>179</v>
      </c>
      <c r="AM1" s="1" t="s">
        <v>180</v>
      </c>
      <c r="AN1" s="1" t="s">
        <v>181</v>
      </c>
      <c r="AO1" s="1" t="s">
        <v>182</v>
      </c>
      <c r="AP1" s="1" t="s">
        <v>183</v>
      </c>
      <c r="AQ1" s="1" t="s">
        <v>184</v>
      </c>
      <c r="AR1" s="1" t="s">
        <v>115</v>
      </c>
    </row>
    <row r="2" ht="25.5" customHeight="1" spans="1:44">
      <c r="A2" t="s">
        <v>11</v>
      </c>
      <c r="B2" t="s">
        <v>185</v>
      </c>
      <c r="C2" s="2" t="str">
        <f>HYPERLINK("http:///packages/goods/detail/index?alias=36ef8jhdmwdcpsl","/packages/goods/detail/index?alias=36ef8jhdmwdcpsl")</f>
        <v>/packages/goods/detail/index?alias=36ef8jhdmwdcpsl</v>
      </c>
      <c r="D2" t="s">
        <v>186</v>
      </c>
      <c r="F2" t="s">
        <v>187</v>
      </c>
      <c r="G2" t="s">
        <v>188</v>
      </c>
      <c r="H2" t="s">
        <v>189</v>
      </c>
      <c r="I2" t="s">
        <v>190</v>
      </c>
      <c r="J2" t="s">
        <v>191</v>
      </c>
      <c r="K2" t="s">
        <v>192</v>
      </c>
      <c r="L2" t="s">
        <v>193</v>
      </c>
      <c r="M2" t="s">
        <v>194</v>
      </c>
      <c r="N2" t="s">
        <v>195</v>
      </c>
      <c r="O2" t="s">
        <v>196</v>
      </c>
      <c r="P2" t="s">
        <v>197</v>
      </c>
      <c r="Q2">
        <v>299.2</v>
      </c>
      <c r="R2" t="s">
        <v>198</v>
      </c>
      <c r="S2">
        <v>1</v>
      </c>
      <c r="T2">
        <v>299.2</v>
      </c>
      <c r="U2">
        <v>260</v>
      </c>
      <c r="V2" t="s">
        <v>199</v>
      </c>
      <c r="X2" t="s">
        <v>200</v>
      </c>
      <c r="Y2" t="s">
        <v>201</v>
      </c>
      <c r="Z2" t="s">
        <v>202</v>
      </c>
      <c r="AA2" t="s">
        <v>203</v>
      </c>
      <c r="AB2" t="s">
        <v>204</v>
      </c>
      <c r="AC2" t="s">
        <v>205</v>
      </c>
      <c r="AD2" t="s">
        <v>206</v>
      </c>
      <c r="AE2" t="s">
        <v>207</v>
      </c>
      <c r="AF2" t="s">
        <v>207</v>
      </c>
      <c r="AG2" t="s">
        <v>208</v>
      </c>
      <c r="AH2" t="s">
        <v>207</v>
      </c>
      <c r="AI2" t="s">
        <v>209</v>
      </c>
      <c r="AJ2" t="s">
        <v>210</v>
      </c>
      <c r="AK2" t="s">
        <v>211</v>
      </c>
      <c r="AL2" t="s">
        <v>212</v>
      </c>
      <c r="AM2" t="s">
        <v>207</v>
      </c>
      <c r="AN2" t="s">
        <v>207</v>
      </c>
      <c r="AO2" t="s">
        <v>207</v>
      </c>
    </row>
    <row r="3" ht="25.5" customHeight="1" spans="1:44">
      <c r="A3" t="s">
        <v>33</v>
      </c>
      <c r="B3" t="s">
        <v>213</v>
      </c>
      <c r="C3" s="2" t="str">
        <f>HYPERLINK("http:///packages/goods/detail/index?alias=2xi5qcujqa03tae","/packages/goods/detail/index?alias=2xi5qcujqa03tae")</f>
        <v>/packages/goods/detail/index?alias=2xi5qcujqa03tae</v>
      </c>
      <c r="D3" t="s">
        <v>214</v>
      </c>
      <c r="E3" t="s">
        <v>215</v>
      </c>
      <c r="F3" t="s">
        <v>216</v>
      </c>
      <c r="G3" t="s">
        <v>217</v>
      </c>
      <c r="H3" t="s">
        <v>218</v>
      </c>
      <c r="J3" t="s">
        <v>191</v>
      </c>
      <c r="K3" t="s">
        <v>192</v>
      </c>
      <c r="L3" t="s">
        <v>193</v>
      </c>
      <c r="M3" t="s">
        <v>219</v>
      </c>
      <c r="N3" t="s">
        <v>220</v>
      </c>
      <c r="O3" t="s">
        <v>221</v>
      </c>
      <c r="P3" t="s">
        <v>222</v>
      </c>
      <c r="Q3">
        <v>68.2</v>
      </c>
      <c r="S3">
        <v>4</v>
      </c>
      <c r="T3">
        <v>272.8</v>
      </c>
      <c r="X3" t="s">
        <v>200</v>
      </c>
      <c r="Y3" t="s">
        <v>223</v>
      </c>
      <c r="Z3" t="s">
        <v>224</v>
      </c>
      <c r="AB3" t="s">
        <v>204</v>
      </c>
      <c r="AC3" t="s">
        <v>225</v>
      </c>
      <c r="AD3" t="s">
        <v>226</v>
      </c>
      <c r="AE3" t="s">
        <v>207</v>
      </c>
      <c r="AF3" t="s">
        <v>207</v>
      </c>
      <c r="AG3" t="s">
        <v>227</v>
      </c>
      <c r="AH3" t="s">
        <v>207</v>
      </c>
      <c r="AI3" t="s">
        <v>228</v>
      </c>
      <c r="AJ3" t="s">
        <v>229</v>
      </c>
      <c r="AK3" t="s">
        <v>230</v>
      </c>
      <c r="AL3" t="s">
        <v>231</v>
      </c>
      <c r="AM3" t="s">
        <v>207</v>
      </c>
      <c r="AN3" t="s">
        <v>207</v>
      </c>
    </row>
    <row r="4" ht="25.5" customHeight="1" spans="1:44">
      <c r="A4" t="s">
        <v>38</v>
      </c>
      <c r="B4" t="s">
        <v>38</v>
      </c>
      <c r="C4" s="2" t="str">
        <f>HYPERLINK("http:///packages/goods/detail/index?alias=2xlw5att12755mf","/packages/goods/detail/index?alias=2xlw5att12755mf")</f>
        <v>/packages/goods/detail/index?alias=2xlw5att12755mf</v>
      </c>
      <c r="D4" t="s">
        <v>232</v>
      </c>
      <c r="E4" t="s">
        <v>233</v>
      </c>
      <c r="F4" t="s">
        <v>234</v>
      </c>
      <c r="G4" t="s">
        <v>235</v>
      </c>
      <c r="H4" t="s">
        <v>236</v>
      </c>
      <c r="I4" t="s">
        <v>237</v>
      </c>
      <c r="J4" t="s">
        <v>191</v>
      </c>
      <c r="K4" t="s">
        <v>192</v>
      </c>
      <c r="L4" t="s">
        <v>193</v>
      </c>
      <c r="M4" t="s">
        <v>238</v>
      </c>
      <c r="N4" t="s">
        <v>239</v>
      </c>
      <c r="O4" t="s">
        <v>240</v>
      </c>
      <c r="P4" t="s">
        <v>222</v>
      </c>
      <c r="Q4">
        <v>252.8</v>
      </c>
      <c r="S4">
        <v>1</v>
      </c>
      <c r="T4">
        <v>252.8</v>
      </c>
      <c r="V4" t="s">
        <v>241</v>
      </c>
      <c r="W4" t="s">
        <v>242</v>
      </c>
      <c r="X4" t="s">
        <v>200</v>
      </c>
      <c r="Y4" t="s">
        <v>243</v>
      </c>
      <c r="Z4" t="s">
        <v>244</v>
      </c>
      <c r="AB4" t="s">
        <v>204</v>
      </c>
      <c r="AC4" t="s">
        <v>245</v>
      </c>
      <c r="AD4" t="s">
        <v>246</v>
      </c>
      <c r="AF4" t="s">
        <v>207</v>
      </c>
      <c r="AG4" t="s">
        <v>247</v>
      </c>
      <c r="AH4" t="s">
        <v>207</v>
      </c>
      <c r="AI4" t="s">
        <v>228</v>
      </c>
      <c r="AJ4" t="s">
        <v>210</v>
      </c>
      <c r="AK4" t="s">
        <v>248</v>
      </c>
      <c r="AL4" t="s">
        <v>249</v>
      </c>
      <c r="AM4" t="s">
        <v>207</v>
      </c>
      <c r="AN4" t="s">
        <v>207</v>
      </c>
      <c r="AO4" t="s">
        <v>207</v>
      </c>
    </row>
    <row r="5" ht="25.5" customHeight="1" spans="1:44">
      <c r="A5" t="s">
        <v>41</v>
      </c>
      <c r="B5" t="s">
        <v>250</v>
      </c>
      <c r="C5" s="2" t="str">
        <f>HYPERLINK("http:///packages/goods/detail/index?alias=1yammxjxzugbt0r","/packages/goods/detail/index?alias=1yammxjxzugbt0r")</f>
        <v>/packages/goods/detail/index?alias=1yammxjxzugbt0r</v>
      </c>
      <c r="D5" t="s">
        <v>251</v>
      </c>
      <c r="E5" t="s">
        <v>252</v>
      </c>
      <c r="F5" t="s">
        <v>253</v>
      </c>
      <c r="G5" t="s">
        <v>254</v>
      </c>
      <c r="H5" t="s">
        <v>255</v>
      </c>
      <c r="I5" t="s">
        <v>256</v>
      </c>
      <c r="J5" t="s">
        <v>191</v>
      </c>
      <c r="K5" t="s">
        <v>192</v>
      </c>
      <c r="L5" t="s">
        <v>257</v>
      </c>
      <c r="M5" t="s">
        <v>258</v>
      </c>
      <c r="N5" t="s">
        <v>259</v>
      </c>
      <c r="O5" t="s">
        <v>260</v>
      </c>
      <c r="P5" t="s">
        <v>222</v>
      </c>
      <c r="Q5">
        <v>149</v>
      </c>
      <c r="R5" t="s">
        <v>261</v>
      </c>
      <c r="S5">
        <v>4</v>
      </c>
      <c r="T5">
        <v>596</v>
      </c>
      <c r="U5">
        <v>556</v>
      </c>
      <c r="V5" t="s">
        <v>262</v>
      </c>
      <c r="W5" t="s">
        <v>263</v>
      </c>
      <c r="X5" t="s">
        <v>200</v>
      </c>
      <c r="Y5" t="s">
        <v>264</v>
      </c>
      <c r="Z5" t="s">
        <v>265</v>
      </c>
      <c r="AA5" t="s">
        <v>266</v>
      </c>
      <c r="AB5" t="s">
        <v>204</v>
      </c>
      <c r="AC5" t="s">
        <v>267</v>
      </c>
      <c r="AD5" t="s">
        <v>268</v>
      </c>
      <c r="AE5" t="s">
        <v>207</v>
      </c>
      <c r="AF5" t="s">
        <v>207</v>
      </c>
      <c r="AG5" t="s">
        <v>269</v>
      </c>
      <c r="AH5" t="s">
        <v>207</v>
      </c>
      <c r="AI5" t="s">
        <v>270</v>
      </c>
      <c r="AJ5" t="s">
        <v>271</v>
      </c>
      <c r="AK5" t="s">
        <v>272</v>
      </c>
      <c r="AL5" t="s">
        <v>273</v>
      </c>
      <c r="AM5" t="s">
        <v>207</v>
      </c>
      <c r="AN5" t="s">
        <v>207</v>
      </c>
      <c r="AO5" t="s">
        <v>207</v>
      </c>
      <c r="AP5" t="s">
        <v>274</v>
      </c>
    </row>
    <row r="6" ht="25.5" customHeight="1" spans="1:44">
      <c r="A6" t="s">
        <v>26</v>
      </c>
      <c r="B6" t="s">
        <v>275</v>
      </c>
      <c r="C6" s="2" t="str">
        <f>HYPERLINK("http:///packages/goods/detail/index?alias=2fqwgd5kd28ntrm","/packages/goods/detail/index?alias=2fqwgd5kd28ntrm")</f>
        <v>/packages/goods/detail/index?alias=2fqwgd5kd28ntrm</v>
      </c>
      <c r="D6" t="s">
        <v>276</v>
      </c>
      <c r="E6" t="s">
        <v>277</v>
      </c>
      <c r="F6" t="s">
        <v>278</v>
      </c>
      <c r="G6" t="s">
        <v>279</v>
      </c>
      <c r="H6" t="s">
        <v>280</v>
      </c>
      <c r="I6" t="s">
        <v>281</v>
      </c>
      <c r="J6" t="s">
        <v>191</v>
      </c>
      <c r="K6" t="s">
        <v>192</v>
      </c>
      <c r="L6" t="s">
        <v>193</v>
      </c>
      <c r="M6" t="s">
        <v>282</v>
      </c>
      <c r="O6" t="s">
        <v>283</v>
      </c>
      <c r="P6" t="s">
        <v>222</v>
      </c>
      <c r="Q6">
        <v>312.8</v>
      </c>
      <c r="R6" t="s">
        <v>284</v>
      </c>
      <c r="S6">
        <v>1</v>
      </c>
      <c r="T6">
        <v>312.8</v>
      </c>
      <c r="U6">
        <v>276</v>
      </c>
      <c r="V6" t="s">
        <v>285</v>
      </c>
      <c r="W6" t="s">
        <v>286</v>
      </c>
      <c r="X6" t="s">
        <v>200</v>
      </c>
      <c r="Y6" t="s">
        <v>287</v>
      </c>
      <c r="Z6" t="s">
        <v>288</v>
      </c>
      <c r="AB6" t="s">
        <v>204</v>
      </c>
      <c r="AC6" t="s">
        <v>245</v>
      </c>
      <c r="AD6" t="s">
        <v>246</v>
      </c>
      <c r="AE6" t="s">
        <v>289</v>
      </c>
      <c r="AF6" t="s">
        <v>207</v>
      </c>
      <c r="AG6" t="s">
        <v>208</v>
      </c>
      <c r="AI6" t="s">
        <v>270</v>
      </c>
      <c r="AJ6" t="s">
        <v>210</v>
      </c>
      <c r="AK6" t="s">
        <v>290</v>
      </c>
      <c r="AL6" t="s">
        <v>291</v>
      </c>
      <c r="AM6" t="s">
        <v>207</v>
      </c>
      <c r="AN6" t="s">
        <v>207</v>
      </c>
      <c r="AO6" t="s">
        <v>207</v>
      </c>
    </row>
    <row r="7" ht="25.5" customHeight="1" spans="1:44">
      <c r="A7" t="s">
        <v>24</v>
      </c>
      <c r="B7" t="s">
        <v>24</v>
      </c>
      <c r="C7" s="2" t="str">
        <f>HYPERLINK("http:///packages/goods/detail/index?alias=3f39zdjub18qxp5","/packages/goods/detail/index?alias=3f39zdjub18qxp5")</f>
        <v>/packages/goods/detail/index?alias=3f39zdjub18qxp5</v>
      </c>
      <c r="D7" t="s">
        <v>292</v>
      </c>
      <c r="E7" t="s">
        <v>293</v>
      </c>
      <c r="F7" t="s">
        <v>294</v>
      </c>
      <c r="G7" t="s">
        <v>295</v>
      </c>
      <c r="H7" t="s">
        <v>296</v>
      </c>
      <c r="I7" t="s">
        <v>297</v>
      </c>
      <c r="J7" t="s">
        <v>191</v>
      </c>
      <c r="K7" t="s">
        <v>192</v>
      </c>
      <c r="L7" t="s">
        <v>193</v>
      </c>
      <c r="M7" t="s">
        <v>298</v>
      </c>
      <c r="N7" t="s">
        <v>299</v>
      </c>
      <c r="O7" t="s">
        <v>300</v>
      </c>
      <c r="P7" t="s">
        <v>301</v>
      </c>
      <c r="Q7">
        <v>79</v>
      </c>
      <c r="S7">
        <v>4</v>
      </c>
      <c r="T7">
        <v>316</v>
      </c>
      <c r="V7" t="s">
        <v>302</v>
      </c>
      <c r="W7" t="s">
        <v>303</v>
      </c>
      <c r="X7" t="s">
        <v>200</v>
      </c>
      <c r="Y7" t="s">
        <v>304</v>
      </c>
      <c r="Z7" t="s">
        <v>305</v>
      </c>
      <c r="AB7" t="s">
        <v>204</v>
      </c>
      <c r="AC7" t="s">
        <v>306</v>
      </c>
      <c r="AD7" t="s">
        <v>307</v>
      </c>
      <c r="AE7" t="s">
        <v>207</v>
      </c>
      <c r="AF7" t="s">
        <v>207</v>
      </c>
      <c r="AG7" t="s">
        <v>308</v>
      </c>
      <c r="AH7" t="s">
        <v>207</v>
      </c>
      <c r="AI7" t="s">
        <v>309</v>
      </c>
      <c r="AJ7" t="s">
        <v>271</v>
      </c>
      <c r="AK7" t="s">
        <v>310</v>
      </c>
      <c r="AL7" t="s">
        <v>311</v>
      </c>
    </row>
    <row r="8" ht="25.5" customHeight="1" spans="1:44">
      <c r="A8" t="s">
        <v>65</v>
      </c>
      <c r="B8" t="s">
        <v>312</v>
      </c>
      <c r="C8" s="2" t="str">
        <f>HYPERLINK("http:///packages/goods/detail/index?alias=1ykilssat6obth0","/packages/goods/detail/index?alias=1ykilssat6obth0")</f>
        <v>/packages/goods/detail/index?alias=1ykilssat6obth0</v>
      </c>
      <c r="D8" t="s">
        <v>313</v>
      </c>
      <c r="F8" t="s">
        <v>314</v>
      </c>
      <c r="G8" t="s">
        <v>315</v>
      </c>
      <c r="H8" t="s">
        <v>316</v>
      </c>
      <c r="J8" t="s">
        <v>317</v>
      </c>
      <c r="K8" t="s">
        <v>192</v>
      </c>
      <c r="L8" t="s">
        <v>193</v>
      </c>
      <c r="M8" t="s">
        <v>318</v>
      </c>
      <c r="N8" t="s">
        <v>319</v>
      </c>
      <c r="O8" t="s">
        <v>320</v>
      </c>
      <c r="P8" t="s">
        <v>321</v>
      </c>
      <c r="Q8">
        <v>98.2</v>
      </c>
      <c r="S8">
        <v>1</v>
      </c>
      <c r="T8">
        <v>98.2</v>
      </c>
      <c r="X8" t="s">
        <v>200</v>
      </c>
      <c r="Y8" t="s">
        <v>322</v>
      </c>
      <c r="Z8" t="s">
        <v>323</v>
      </c>
      <c r="AA8" t="s">
        <v>324</v>
      </c>
      <c r="AB8" t="s">
        <v>204</v>
      </c>
      <c r="AC8" t="s">
        <v>245</v>
      </c>
      <c r="AD8" t="s">
        <v>246</v>
      </c>
      <c r="AE8" t="s">
        <v>325</v>
      </c>
      <c r="AF8" t="s">
        <v>207</v>
      </c>
      <c r="AG8" t="s">
        <v>326</v>
      </c>
      <c r="AH8" t="s">
        <v>207</v>
      </c>
      <c r="AI8" t="s">
        <v>327</v>
      </c>
      <c r="AJ8" t="s">
        <v>328</v>
      </c>
      <c r="AK8" t="s">
        <v>329</v>
      </c>
      <c r="AL8" t="s">
        <v>329</v>
      </c>
      <c r="AM8" t="s">
        <v>207</v>
      </c>
      <c r="AN8" t="s">
        <v>207</v>
      </c>
    </row>
    <row r="9" ht="25.5" customHeight="1" spans="1:44">
      <c r="A9" t="s">
        <v>63</v>
      </c>
      <c r="B9" t="s">
        <v>330</v>
      </c>
      <c r="C9" s="2" t="str">
        <f>HYPERLINK("http:///packages/goods/detail/index?alias=3npq4crcmx0btsy","/packages/goods/detail/index?alias=3npq4crcmx0btsy")</f>
        <v>/packages/goods/detail/index?alias=3npq4crcmx0btsy</v>
      </c>
      <c r="D9" t="s">
        <v>331</v>
      </c>
      <c r="F9" t="s">
        <v>332</v>
      </c>
      <c r="G9" t="s">
        <v>333</v>
      </c>
      <c r="H9" t="s">
        <v>316</v>
      </c>
      <c r="J9" t="s">
        <v>317</v>
      </c>
      <c r="K9" t="s">
        <v>192</v>
      </c>
      <c r="L9" t="s">
        <v>193</v>
      </c>
      <c r="M9" t="s">
        <v>334</v>
      </c>
      <c r="N9" t="s">
        <v>335</v>
      </c>
      <c r="O9" t="s">
        <v>336</v>
      </c>
      <c r="P9" t="s">
        <v>337</v>
      </c>
      <c r="Q9">
        <v>98.2</v>
      </c>
      <c r="S9">
        <v>1</v>
      </c>
      <c r="T9">
        <v>98.2</v>
      </c>
      <c r="X9" t="s">
        <v>200</v>
      </c>
      <c r="Y9" t="s">
        <v>322</v>
      </c>
      <c r="Z9" t="s">
        <v>338</v>
      </c>
      <c r="AA9" t="s">
        <v>324</v>
      </c>
      <c r="AB9" t="s">
        <v>204</v>
      </c>
      <c r="AC9" t="s">
        <v>245</v>
      </c>
      <c r="AD9" t="s">
        <v>246</v>
      </c>
      <c r="AE9" t="s">
        <v>339</v>
      </c>
      <c r="AF9" t="s">
        <v>207</v>
      </c>
      <c r="AG9" t="s">
        <v>340</v>
      </c>
      <c r="AH9" t="s">
        <v>207</v>
      </c>
      <c r="AI9" t="s">
        <v>327</v>
      </c>
      <c r="AJ9" t="s">
        <v>328</v>
      </c>
      <c r="AK9" t="s">
        <v>341</v>
      </c>
      <c r="AL9" t="s">
        <v>341</v>
      </c>
      <c r="AM9" t="s">
        <v>207</v>
      </c>
    </row>
    <row r="10" ht="25.5" customHeight="1" spans="1:44">
      <c r="A10" t="s">
        <v>342</v>
      </c>
      <c r="B10" t="s">
        <v>342</v>
      </c>
      <c r="C10" s="2" t="str">
        <f>HYPERLINK("http:///packages/goods/detail/index?alias=2fvsm3azwywixau","/packages/goods/detail/index?alias=2fvsm3azwywixau")</f>
        <v>/packages/goods/detail/index?alias=2fvsm3azwywixau</v>
      </c>
      <c r="D10" t="s">
        <v>343</v>
      </c>
      <c r="E10" t="s">
        <v>344</v>
      </c>
      <c r="F10" t="s">
        <v>345</v>
      </c>
      <c r="G10" t="s">
        <v>346</v>
      </c>
      <c r="H10" t="s">
        <v>347</v>
      </c>
      <c r="I10" t="s">
        <v>348</v>
      </c>
      <c r="J10" t="s">
        <v>349</v>
      </c>
      <c r="K10" t="s">
        <v>192</v>
      </c>
      <c r="L10" t="s">
        <v>193</v>
      </c>
      <c r="M10" t="s">
        <v>350</v>
      </c>
      <c r="N10" t="s">
        <v>351</v>
      </c>
      <c r="O10" t="s">
        <v>352</v>
      </c>
      <c r="P10" t="s">
        <v>353</v>
      </c>
      <c r="Q10">
        <v>69</v>
      </c>
      <c r="R10" t="s">
        <v>354</v>
      </c>
      <c r="S10">
        <v>4</v>
      </c>
      <c r="T10">
        <v>276</v>
      </c>
      <c r="U10">
        <v>236</v>
      </c>
      <c r="X10" t="s">
        <v>355</v>
      </c>
      <c r="Y10" t="s">
        <v>356</v>
      </c>
      <c r="Z10" t="s">
        <v>357</v>
      </c>
      <c r="AA10" t="s">
        <v>358</v>
      </c>
      <c r="AB10" t="s">
        <v>204</v>
      </c>
      <c r="AC10" t="s">
        <v>267</v>
      </c>
      <c r="AD10" t="s">
        <v>359</v>
      </c>
      <c r="AE10" t="s">
        <v>360</v>
      </c>
      <c r="AF10" t="s">
        <v>207</v>
      </c>
      <c r="AG10" t="s">
        <v>361</v>
      </c>
      <c r="AH10" t="s">
        <v>207</v>
      </c>
      <c r="AI10" t="s">
        <v>362</v>
      </c>
      <c r="AJ10" t="s">
        <v>271</v>
      </c>
      <c r="AK10" t="s">
        <v>363</v>
      </c>
      <c r="AL10" t="s">
        <v>364</v>
      </c>
      <c r="AM10" t="s">
        <v>207</v>
      </c>
      <c r="AN10" t="s">
        <v>207</v>
      </c>
    </row>
    <row r="11" ht="25.5" customHeight="1" spans="1:44">
      <c r="A11" t="s">
        <v>45</v>
      </c>
      <c r="B11" t="s">
        <v>45</v>
      </c>
      <c r="C11" s="2" t="str">
        <f>HYPERLINK("http:///packages/goods/detail/index?alias=3nulxsx4ayngpfa","/packages/goods/detail/index?alias=3nulxsx4ayngpfa")</f>
        <v>/packages/goods/detail/index?alias=3nulxsx4ayngpfa</v>
      </c>
      <c r="D11" t="s">
        <v>365</v>
      </c>
      <c r="E11" t="s">
        <v>366</v>
      </c>
      <c r="F11" t="s">
        <v>367</v>
      </c>
      <c r="G11" t="s">
        <v>368</v>
      </c>
      <c r="H11" t="s">
        <v>369</v>
      </c>
      <c r="I11" t="s">
        <v>370</v>
      </c>
      <c r="J11" t="s">
        <v>191</v>
      </c>
      <c r="K11" t="s">
        <v>192</v>
      </c>
      <c r="L11" t="s">
        <v>193</v>
      </c>
      <c r="M11" t="s">
        <v>371</v>
      </c>
      <c r="N11" t="s">
        <v>372</v>
      </c>
      <c r="O11" t="s">
        <v>373</v>
      </c>
      <c r="P11" t="s">
        <v>222</v>
      </c>
      <c r="Q11">
        <v>108.2</v>
      </c>
      <c r="S11">
        <v>3</v>
      </c>
      <c r="T11">
        <v>324.6</v>
      </c>
      <c r="V11" t="s">
        <v>374</v>
      </c>
      <c r="W11" t="s">
        <v>375</v>
      </c>
      <c r="X11" t="s">
        <v>200</v>
      </c>
      <c r="Y11" t="s">
        <v>376</v>
      </c>
      <c r="Z11" t="s">
        <v>377</v>
      </c>
      <c r="AA11" t="s">
        <v>378</v>
      </c>
      <c r="AB11" t="s">
        <v>204</v>
      </c>
      <c r="AC11" t="s">
        <v>245</v>
      </c>
      <c r="AD11" t="s">
        <v>226</v>
      </c>
      <c r="AE11" t="s">
        <v>207</v>
      </c>
      <c r="AF11" t="s">
        <v>207</v>
      </c>
      <c r="AG11" t="s">
        <v>361</v>
      </c>
      <c r="AH11" t="s">
        <v>207</v>
      </c>
      <c r="AI11" t="s">
        <v>228</v>
      </c>
      <c r="AJ11" t="s">
        <v>229</v>
      </c>
      <c r="AK11" t="s">
        <v>230</v>
      </c>
      <c r="AL11" t="s">
        <v>231</v>
      </c>
      <c r="AM11" t="s">
        <v>207</v>
      </c>
      <c r="AN11" t="s">
        <v>207</v>
      </c>
    </row>
    <row r="12" ht="25.5" customHeight="1" spans="1:44">
      <c r="A12" t="s">
        <v>52</v>
      </c>
      <c r="B12" t="s">
        <v>379</v>
      </c>
      <c r="C12" s="2" t="str">
        <f>HYPERLINK("http:///packages/goods/detail/index?alias=3f0u5qv8v92ux9b","/packages/goods/detail/index?alias=3f0u5qv8v92ux9b")</f>
        <v>/packages/goods/detail/index?alias=3f0u5qv8v92ux9b</v>
      </c>
      <c r="D12" t="s">
        <v>380</v>
      </c>
      <c r="E12" t="s">
        <v>381</v>
      </c>
      <c r="F12" t="s">
        <v>382</v>
      </c>
      <c r="G12" t="s">
        <v>383</v>
      </c>
      <c r="H12" t="s">
        <v>384</v>
      </c>
      <c r="I12" t="s">
        <v>385</v>
      </c>
      <c r="J12" t="s">
        <v>191</v>
      </c>
      <c r="K12" t="s">
        <v>192</v>
      </c>
      <c r="L12" t="s">
        <v>257</v>
      </c>
      <c r="M12" t="s">
        <v>386</v>
      </c>
      <c r="N12" t="s">
        <v>387</v>
      </c>
      <c r="O12" t="s">
        <v>388</v>
      </c>
      <c r="P12" t="s">
        <v>389</v>
      </c>
      <c r="Q12">
        <v>88.2</v>
      </c>
      <c r="S12">
        <v>4</v>
      </c>
      <c r="T12">
        <v>352.8</v>
      </c>
      <c r="V12" t="s">
        <v>390</v>
      </c>
      <c r="W12" t="s">
        <v>391</v>
      </c>
      <c r="X12" t="s">
        <v>200</v>
      </c>
      <c r="Y12" t="s">
        <v>392</v>
      </c>
      <c r="Z12" t="s">
        <v>393</v>
      </c>
      <c r="AB12" t="s">
        <v>204</v>
      </c>
      <c r="AC12" t="s">
        <v>245</v>
      </c>
      <c r="AD12" t="s">
        <v>226</v>
      </c>
      <c r="AE12" t="s">
        <v>207</v>
      </c>
      <c r="AF12" t="s">
        <v>207</v>
      </c>
      <c r="AG12" t="s">
        <v>361</v>
      </c>
      <c r="AH12" t="s">
        <v>207</v>
      </c>
      <c r="AI12" t="s">
        <v>270</v>
      </c>
      <c r="AJ12" t="s">
        <v>229</v>
      </c>
      <c r="AK12" t="s">
        <v>290</v>
      </c>
      <c r="AL12" t="s">
        <v>291</v>
      </c>
      <c r="AM12" t="s">
        <v>207</v>
      </c>
    </row>
    <row r="13" ht="25.5" customHeight="1" spans="1:44">
      <c r="A13" t="s">
        <v>394</v>
      </c>
      <c r="B13" t="s">
        <v>395</v>
      </c>
      <c r="C13" s="2" t="str">
        <f>HYPERLINK("http:///packages/goods/detail/index?alias=3nte3zvdwcncp6w","/packages/goods/detail/index?alias=3nte3zvdwcncp6w")</f>
        <v>/packages/goods/detail/index?alias=3nte3zvdwcncp6w</v>
      </c>
      <c r="D13" t="s">
        <v>396</v>
      </c>
      <c r="E13" t="s">
        <v>397</v>
      </c>
      <c r="F13" t="s">
        <v>398</v>
      </c>
      <c r="G13" t="s">
        <v>399</v>
      </c>
      <c r="H13" t="s">
        <v>400</v>
      </c>
      <c r="I13" t="s">
        <v>401</v>
      </c>
      <c r="J13" t="s">
        <v>317</v>
      </c>
      <c r="K13" t="s">
        <v>192</v>
      </c>
      <c r="L13" t="s">
        <v>193</v>
      </c>
      <c r="M13" t="s">
        <v>402</v>
      </c>
      <c r="N13" t="s">
        <v>403</v>
      </c>
      <c r="O13" t="s">
        <v>404</v>
      </c>
      <c r="P13" t="s">
        <v>405</v>
      </c>
      <c r="Q13">
        <v>356</v>
      </c>
      <c r="S13">
        <v>1</v>
      </c>
      <c r="T13">
        <v>356</v>
      </c>
      <c r="X13" t="s">
        <v>200</v>
      </c>
      <c r="Y13" t="s">
        <v>406</v>
      </c>
      <c r="Z13" t="s">
        <v>407</v>
      </c>
      <c r="AA13" t="s">
        <v>408</v>
      </c>
      <c r="AB13" t="s">
        <v>204</v>
      </c>
      <c r="AC13" t="s">
        <v>245</v>
      </c>
      <c r="AD13" t="s">
        <v>206</v>
      </c>
      <c r="AE13" t="s">
        <v>207</v>
      </c>
      <c r="AF13" t="s">
        <v>207</v>
      </c>
      <c r="AG13" t="s">
        <v>409</v>
      </c>
      <c r="AH13" t="s">
        <v>207</v>
      </c>
      <c r="AJ13" t="s">
        <v>210</v>
      </c>
      <c r="AK13" t="s">
        <v>410</v>
      </c>
      <c r="AL13" t="s">
        <v>410</v>
      </c>
    </row>
    <row r="14" ht="25.5" customHeight="1" spans="1:44">
      <c r="A14" t="s">
        <v>22</v>
      </c>
      <c r="B14" t="s">
        <v>22</v>
      </c>
      <c r="C14" s="2" t="str">
        <f>HYPERLINK("http:///packages/goods/detail/index?alias=35vzackg4ctmx","/packages/goods/detail/index?alias=35vzackg4ctmx")</f>
        <v>/packages/goods/detail/index?alias=35vzackg4ctmx</v>
      </c>
      <c r="D14" t="s">
        <v>411</v>
      </c>
      <c r="E14" t="s">
        <v>412</v>
      </c>
      <c r="F14" t="s">
        <v>413</v>
      </c>
      <c r="G14" t="s">
        <v>414</v>
      </c>
      <c r="H14" t="s">
        <v>415</v>
      </c>
      <c r="I14" t="s">
        <v>416</v>
      </c>
      <c r="J14" t="s">
        <v>191</v>
      </c>
      <c r="K14" t="s">
        <v>192</v>
      </c>
      <c r="L14" t="s">
        <v>193</v>
      </c>
      <c r="M14" t="s">
        <v>417</v>
      </c>
      <c r="N14" t="s">
        <v>418</v>
      </c>
      <c r="O14" t="s">
        <v>419</v>
      </c>
      <c r="P14" t="s">
        <v>420</v>
      </c>
      <c r="Q14">
        <v>58.2</v>
      </c>
      <c r="S14">
        <v>4</v>
      </c>
      <c r="T14">
        <v>232.8</v>
      </c>
      <c r="X14" t="s">
        <v>200</v>
      </c>
      <c r="Y14" t="s">
        <v>392</v>
      </c>
      <c r="Z14" t="s">
        <v>421</v>
      </c>
      <c r="AB14" t="s">
        <v>204</v>
      </c>
      <c r="AC14" t="s">
        <v>245</v>
      </c>
      <c r="AD14" t="s">
        <v>226</v>
      </c>
      <c r="AE14" t="s">
        <v>207</v>
      </c>
      <c r="AF14" t="s">
        <v>207</v>
      </c>
      <c r="AG14" t="s">
        <v>422</v>
      </c>
      <c r="AH14" t="s">
        <v>207</v>
      </c>
      <c r="AI14" t="s">
        <v>270</v>
      </c>
      <c r="AJ14" t="s">
        <v>229</v>
      </c>
      <c r="AK14" t="s">
        <v>290</v>
      </c>
      <c r="AL14" t="s">
        <v>291</v>
      </c>
      <c r="AM14" t="s">
        <v>207</v>
      </c>
      <c r="AN14" t="s">
        <v>207</v>
      </c>
    </row>
    <row r="15" ht="25.5" customHeight="1" spans="1:44">
      <c r="A15" t="s">
        <v>59</v>
      </c>
      <c r="B15" t="s">
        <v>423</v>
      </c>
      <c r="C15" s="2" t="str">
        <f>HYPERLINK("http:///packages/goods/detail/index?alias=2ojgxas7sfco9s2","/packages/goods/detail/index?alias=2ojgxas7sfco9s2")</f>
        <v>/packages/goods/detail/index?alias=2ojgxas7sfco9s2</v>
      </c>
      <c r="D15" t="s">
        <v>424</v>
      </c>
      <c r="E15" t="s">
        <v>423</v>
      </c>
      <c r="F15" t="s">
        <v>425</v>
      </c>
      <c r="G15" t="s">
        <v>426</v>
      </c>
      <c r="H15" t="s">
        <v>427</v>
      </c>
      <c r="J15" t="s">
        <v>191</v>
      </c>
      <c r="K15" t="s">
        <v>192</v>
      </c>
      <c r="L15" t="s">
        <v>257</v>
      </c>
      <c r="N15" t="s">
        <v>428</v>
      </c>
      <c r="O15" t="s">
        <v>429</v>
      </c>
      <c r="P15" t="s">
        <v>430</v>
      </c>
      <c r="Q15">
        <v>59</v>
      </c>
      <c r="S15">
        <v>4</v>
      </c>
      <c r="T15">
        <v>236</v>
      </c>
      <c r="X15" t="s">
        <v>200</v>
      </c>
      <c r="Y15" t="s">
        <v>431</v>
      </c>
      <c r="Z15" t="s">
        <v>432</v>
      </c>
      <c r="AB15" t="s">
        <v>204</v>
      </c>
      <c r="AC15" t="s">
        <v>245</v>
      </c>
      <c r="AD15" t="s">
        <v>307</v>
      </c>
      <c r="AE15" t="s">
        <v>207</v>
      </c>
      <c r="AF15" t="s">
        <v>207</v>
      </c>
      <c r="AG15" t="s">
        <v>433</v>
      </c>
      <c r="AH15" t="s">
        <v>207</v>
      </c>
      <c r="AI15" t="s">
        <v>434</v>
      </c>
      <c r="AJ15" t="s">
        <v>271</v>
      </c>
      <c r="AK15" t="s">
        <v>435</v>
      </c>
      <c r="AL15" t="s">
        <v>436</v>
      </c>
    </row>
    <row r="16" ht="25.5" customHeight="1" spans="1:44">
      <c r="A16" t="s">
        <v>53</v>
      </c>
      <c r="B16" t="s">
        <v>437</v>
      </c>
      <c r="C16" s="2" t="str">
        <f>HYPERLINK("http:///packages/goods/detail/index?alias=3ns6gg581pqwpsu","/packages/goods/detail/index?alias=3ns6gg581pqwpsu")</f>
        <v>/packages/goods/detail/index?alias=3ns6gg581pqwpsu</v>
      </c>
      <c r="D16" t="s">
        <v>438</v>
      </c>
      <c r="E16" t="s">
        <v>439</v>
      </c>
      <c r="F16" t="s">
        <v>440</v>
      </c>
      <c r="G16" t="s">
        <v>441</v>
      </c>
      <c r="H16" t="s">
        <v>442</v>
      </c>
      <c r="I16" t="s">
        <v>443</v>
      </c>
      <c r="J16" t="s">
        <v>191</v>
      </c>
      <c r="K16" t="s">
        <v>192</v>
      </c>
      <c r="L16" t="s">
        <v>257</v>
      </c>
      <c r="M16" t="s">
        <v>444</v>
      </c>
      <c r="N16" t="s">
        <v>445</v>
      </c>
      <c r="O16" t="s">
        <v>446</v>
      </c>
      <c r="P16" t="s">
        <v>222</v>
      </c>
      <c r="Q16">
        <v>379.2</v>
      </c>
      <c r="S16">
        <v>1</v>
      </c>
      <c r="T16">
        <v>379.2</v>
      </c>
      <c r="V16" t="s">
        <v>447</v>
      </c>
      <c r="W16" t="s">
        <v>448</v>
      </c>
      <c r="X16" t="s">
        <v>449</v>
      </c>
      <c r="Y16" t="s">
        <v>450</v>
      </c>
      <c r="Z16" t="s">
        <v>451</v>
      </c>
      <c r="AA16" t="s">
        <v>452</v>
      </c>
      <c r="AB16" t="s">
        <v>204</v>
      </c>
      <c r="AC16" t="s">
        <v>245</v>
      </c>
      <c r="AD16" t="s">
        <v>453</v>
      </c>
      <c r="AE16" t="s">
        <v>207</v>
      </c>
      <c r="AF16" t="s">
        <v>207</v>
      </c>
      <c r="AG16" t="s">
        <v>208</v>
      </c>
      <c r="AH16" t="s">
        <v>207</v>
      </c>
      <c r="AI16" t="s">
        <v>228</v>
      </c>
      <c r="AJ16" t="s">
        <v>454</v>
      </c>
      <c r="AK16" t="s">
        <v>455</v>
      </c>
      <c r="AL16" t="s">
        <v>456</v>
      </c>
      <c r="AM16" t="s">
        <v>207</v>
      </c>
    </row>
    <row r="17" ht="25.5" customHeight="1" spans="1:41">
      <c r="A17" t="s">
        <v>35</v>
      </c>
      <c r="B17" t="s">
        <v>457</v>
      </c>
      <c r="C17" s="2" t="str">
        <f>HYPERLINK("http:///packages/goods/detail/index?alias=2fn5iec1pevrts8","/packages/goods/detail/index?alias=2fn5iec1pevrts8")</f>
        <v>/packages/goods/detail/index?alias=2fn5iec1pevrts8</v>
      </c>
      <c r="D17" t="s">
        <v>458</v>
      </c>
      <c r="E17" t="s">
        <v>459</v>
      </c>
      <c r="F17" t="s">
        <v>460</v>
      </c>
      <c r="G17" t="s">
        <v>461</v>
      </c>
      <c r="H17" t="s">
        <v>462</v>
      </c>
      <c r="I17" t="s">
        <v>463</v>
      </c>
      <c r="J17" t="s">
        <v>191</v>
      </c>
      <c r="K17" t="s">
        <v>192</v>
      </c>
      <c r="L17" t="s">
        <v>257</v>
      </c>
      <c r="M17" t="s">
        <v>464</v>
      </c>
      <c r="N17" t="s">
        <v>465</v>
      </c>
      <c r="O17" t="s">
        <v>466</v>
      </c>
      <c r="P17" t="s">
        <v>467</v>
      </c>
      <c r="Q17">
        <v>68.2</v>
      </c>
      <c r="S17">
        <v>4</v>
      </c>
      <c r="T17">
        <v>272.8</v>
      </c>
      <c r="V17" t="s">
        <v>468</v>
      </c>
      <c r="W17" t="s">
        <v>469</v>
      </c>
      <c r="X17" t="s">
        <v>355</v>
      </c>
      <c r="Y17" t="s">
        <v>470</v>
      </c>
      <c r="Z17" t="s">
        <v>471</v>
      </c>
      <c r="AB17" t="s">
        <v>204</v>
      </c>
      <c r="AC17" t="s">
        <v>245</v>
      </c>
      <c r="AD17" t="s">
        <v>226</v>
      </c>
      <c r="AF17" t="s">
        <v>207</v>
      </c>
      <c r="AG17" t="s">
        <v>472</v>
      </c>
      <c r="AH17" t="s">
        <v>207</v>
      </c>
      <c r="AJ17" t="s">
        <v>473</v>
      </c>
    </row>
    <row r="18" ht="25.5" customHeight="1" spans="1:41">
      <c r="A18" t="s">
        <v>39</v>
      </c>
      <c r="B18" t="s">
        <v>39</v>
      </c>
      <c r="C18" s="2" t="str">
        <f>HYPERLINK("http:///packages/goods/detail/index?alias=1yjbne20s3qplm6","/packages/goods/detail/index?alias=1yjbne20s3qplm6")</f>
        <v>/packages/goods/detail/index?alias=1yjbne20s3qplm6</v>
      </c>
      <c r="D18" t="s">
        <v>474</v>
      </c>
      <c r="F18" t="s">
        <v>475</v>
      </c>
      <c r="G18" t="s">
        <v>476</v>
      </c>
      <c r="H18" t="s">
        <v>477</v>
      </c>
      <c r="J18" t="s">
        <v>191</v>
      </c>
      <c r="K18" t="s">
        <v>192</v>
      </c>
      <c r="L18" t="s">
        <v>257</v>
      </c>
      <c r="M18" t="s">
        <v>478</v>
      </c>
      <c r="N18" t="s">
        <v>479</v>
      </c>
      <c r="O18" t="s">
        <v>480</v>
      </c>
      <c r="P18" t="s">
        <v>222</v>
      </c>
      <c r="Q18">
        <v>58.2</v>
      </c>
      <c r="S18">
        <v>4</v>
      </c>
      <c r="T18">
        <v>232.8</v>
      </c>
      <c r="X18" t="s">
        <v>200</v>
      </c>
      <c r="Y18" t="s">
        <v>264</v>
      </c>
      <c r="Z18" t="s">
        <v>481</v>
      </c>
      <c r="AB18" t="s">
        <v>204</v>
      </c>
      <c r="AC18" t="s">
        <v>245</v>
      </c>
      <c r="AD18" t="s">
        <v>226</v>
      </c>
      <c r="AE18" t="s">
        <v>482</v>
      </c>
      <c r="AF18" t="s">
        <v>207</v>
      </c>
      <c r="AG18" t="s">
        <v>483</v>
      </c>
      <c r="AH18" t="s">
        <v>207</v>
      </c>
      <c r="AI18" t="s">
        <v>270</v>
      </c>
      <c r="AJ18" t="s">
        <v>229</v>
      </c>
      <c r="AK18" t="s">
        <v>290</v>
      </c>
      <c r="AL18" t="s">
        <v>291</v>
      </c>
    </row>
    <row r="19" ht="25.5" customHeight="1" spans="1:41">
      <c r="A19" t="s">
        <v>56</v>
      </c>
      <c r="B19" t="s">
        <v>56</v>
      </c>
      <c r="C19" s="2" t="str">
        <f>HYPERLINK("http:///packages/goods/detail/index?alias=1yi2m072dkwcp4a","/packages/goods/detail/index?alias=1yi2m072dkwcp4a")</f>
        <v>/packages/goods/detail/index?alias=1yi2m072dkwcp4a</v>
      </c>
      <c r="D19" t="s">
        <v>484</v>
      </c>
      <c r="E19" t="s">
        <v>485</v>
      </c>
      <c r="F19" t="s">
        <v>486</v>
      </c>
      <c r="G19" t="s">
        <v>487</v>
      </c>
      <c r="H19" t="s">
        <v>488</v>
      </c>
      <c r="I19" t="s">
        <v>489</v>
      </c>
      <c r="J19" t="s">
        <v>191</v>
      </c>
      <c r="K19" t="s">
        <v>192</v>
      </c>
      <c r="L19" t="s">
        <v>257</v>
      </c>
      <c r="M19" t="s">
        <v>490</v>
      </c>
      <c r="N19" t="s">
        <v>491</v>
      </c>
      <c r="O19" t="s">
        <v>492</v>
      </c>
      <c r="P19" t="s">
        <v>493</v>
      </c>
      <c r="Q19">
        <v>68.2</v>
      </c>
      <c r="S19">
        <v>4</v>
      </c>
      <c r="T19">
        <v>272.8</v>
      </c>
      <c r="V19" t="s">
        <v>494</v>
      </c>
      <c r="W19" t="s">
        <v>495</v>
      </c>
      <c r="X19" t="s">
        <v>200</v>
      </c>
      <c r="Y19" t="s">
        <v>496</v>
      </c>
      <c r="Z19" t="s">
        <v>497</v>
      </c>
      <c r="AB19" t="s">
        <v>204</v>
      </c>
      <c r="AC19" t="s">
        <v>498</v>
      </c>
      <c r="AD19" t="s">
        <v>226</v>
      </c>
      <c r="AE19" t="s">
        <v>499</v>
      </c>
      <c r="AF19" t="s">
        <v>207</v>
      </c>
      <c r="AG19" t="s">
        <v>361</v>
      </c>
      <c r="AH19" t="s">
        <v>207</v>
      </c>
      <c r="AI19" t="s">
        <v>228</v>
      </c>
      <c r="AJ19" t="s">
        <v>229</v>
      </c>
      <c r="AK19" t="s">
        <v>500</v>
      </c>
      <c r="AL19" t="s">
        <v>501</v>
      </c>
      <c r="AM19" t="s">
        <v>207</v>
      </c>
    </row>
    <row r="20" ht="25.5" customHeight="1" spans="1:41">
      <c r="A20" t="s">
        <v>34</v>
      </c>
      <c r="B20" t="s">
        <v>34</v>
      </c>
      <c r="C20" s="2" t="str">
        <f>HYPERLINK("http:///packages/goods/detail/index?alias=1y5pm03lx68ix90","/packages/goods/detail/index?alias=1y5pm03lx68ix90")</f>
        <v>/packages/goods/detail/index?alias=1y5pm03lx68ix90</v>
      </c>
      <c r="D20" t="s">
        <v>502</v>
      </c>
      <c r="E20" t="s">
        <v>503</v>
      </c>
      <c r="F20" t="s">
        <v>504</v>
      </c>
      <c r="G20" t="s">
        <v>505</v>
      </c>
      <c r="H20" t="s">
        <v>506</v>
      </c>
      <c r="J20" t="s">
        <v>191</v>
      </c>
      <c r="K20" t="s">
        <v>192</v>
      </c>
      <c r="L20" t="s">
        <v>257</v>
      </c>
      <c r="M20" t="s">
        <v>507</v>
      </c>
      <c r="N20" t="s">
        <v>508</v>
      </c>
      <c r="O20" t="s">
        <v>509</v>
      </c>
      <c r="P20" t="s">
        <v>510</v>
      </c>
      <c r="Q20">
        <v>68.2</v>
      </c>
      <c r="S20">
        <v>4</v>
      </c>
      <c r="T20">
        <v>272.8</v>
      </c>
      <c r="X20" t="s">
        <v>200</v>
      </c>
      <c r="Y20" t="s">
        <v>511</v>
      </c>
      <c r="Z20" t="s">
        <v>512</v>
      </c>
      <c r="AA20" t="s">
        <v>513</v>
      </c>
      <c r="AB20" t="s">
        <v>204</v>
      </c>
      <c r="AC20" t="s">
        <v>245</v>
      </c>
      <c r="AD20" t="s">
        <v>226</v>
      </c>
      <c r="AE20" t="s">
        <v>514</v>
      </c>
      <c r="AF20" t="s">
        <v>207</v>
      </c>
      <c r="AG20" t="s">
        <v>515</v>
      </c>
      <c r="AH20" t="s">
        <v>207</v>
      </c>
      <c r="AI20" t="s">
        <v>516</v>
      </c>
      <c r="AJ20" t="s">
        <v>473</v>
      </c>
      <c r="AK20" t="s">
        <v>517</v>
      </c>
      <c r="AL20" t="s">
        <v>518</v>
      </c>
    </row>
    <row r="21" ht="25.5" customHeight="1" spans="1:41">
      <c r="A21" t="s">
        <v>519</v>
      </c>
      <c r="B21" t="s">
        <v>519</v>
      </c>
      <c r="C21" s="2" t="str">
        <f>HYPERLINK("http:///packages/goods/detail/index?alias=2g4fdfn2tpt6x29","/packages/goods/detail/index?alias=2g4fdfn2tpt6x29")</f>
        <v>/packages/goods/detail/index?alias=2g4fdfn2tpt6x29</v>
      </c>
      <c r="D21" t="s">
        <v>520</v>
      </c>
      <c r="E21" t="s">
        <v>521</v>
      </c>
      <c r="F21" t="s">
        <v>522</v>
      </c>
      <c r="G21" t="s">
        <v>523</v>
      </c>
      <c r="H21" t="s">
        <v>524</v>
      </c>
      <c r="I21" t="s">
        <v>525</v>
      </c>
      <c r="J21" t="s">
        <v>191</v>
      </c>
      <c r="K21" t="s">
        <v>192</v>
      </c>
      <c r="L21" t="s">
        <v>193</v>
      </c>
      <c r="M21" t="s">
        <v>526</v>
      </c>
      <c r="N21" t="s">
        <v>527</v>
      </c>
      <c r="O21" t="s">
        <v>528</v>
      </c>
      <c r="P21" t="s">
        <v>529</v>
      </c>
      <c r="Q21">
        <v>99</v>
      </c>
      <c r="R21" t="s">
        <v>530</v>
      </c>
      <c r="S21">
        <v>3</v>
      </c>
      <c r="T21">
        <v>297</v>
      </c>
      <c r="U21">
        <v>267</v>
      </c>
      <c r="V21" t="s">
        <v>21</v>
      </c>
      <c r="W21" t="s">
        <v>531</v>
      </c>
      <c r="X21" t="s">
        <v>200</v>
      </c>
      <c r="Y21" t="s">
        <v>532</v>
      </c>
      <c r="Z21" t="s">
        <v>533</v>
      </c>
      <c r="AB21" t="s">
        <v>204</v>
      </c>
      <c r="AC21" t="s">
        <v>306</v>
      </c>
      <c r="AD21" t="s">
        <v>307</v>
      </c>
      <c r="AE21" t="s">
        <v>207</v>
      </c>
      <c r="AF21" t="s">
        <v>207</v>
      </c>
      <c r="AG21" t="s">
        <v>534</v>
      </c>
      <c r="AH21" t="s">
        <v>207</v>
      </c>
      <c r="AI21" t="s">
        <v>535</v>
      </c>
      <c r="AJ21" t="s">
        <v>271</v>
      </c>
      <c r="AK21" t="s">
        <v>231</v>
      </c>
      <c r="AL21" t="s">
        <v>291</v>
      </c>
      <c r="AM21" t="s">
        <v>207</v>
      </c>
      <c r="AN21" t="s">
        <v>274</v>
      </c>
    </row>
    <row r="22" ht="25.5" customHeight="1" spans="1:41">
      <c r="A22" t="s">
        <v>55</v>
      </c>
      <c r="B22" t="s">
        <v>55</v>
      </c>
      <c r="C22" s="2" t="str">
        <f>HYPERLINK("http:///packages/goods/detail/index?alias=3f3bjlimqfdrtph","/packages/goods/detail/index?alias=3f3bjlimqfdrtph")</f>
        <v>/packages/goods/detail/index?alias=3f3bjlimqfdrtph</v>
      </c>
      <c r="D22" t="s">
        <v>536</v>
      </c>
      <c r="E22" t="s">
        <v>537</v>
      </c>
      <c r="F22" t="s">
        <v>538</v>
      </c>
      <c r="G22" t="s">
        <v>539</v>
      </c>
      <c r="H22" t="s">
        <v>540</v>
      </c>
      <c r="I22" t="s">
        <v>541</v>
      </c>
      <c r="J22" t="s">
        <v>191</v>
      </c>
      <c r="K22" t="s">
        <v>192</v>
      </c>
      <c r="L22" t="s">
        <v>193</v>
      </c>
      <c r="M22" t="s">
        <v>542</v>
      </c>
      <c r="N22" t="s">
        <v>543</v>
      </c>
      <c r="O22" t="s">
        <v>544</v>
      </c>
      <c r="P22" t="s">
        <v>222</v>
      </c>
      <c r="Q22">
        <v>312.8</v>
      </c>
      <c r="R22" t="s">
        <v>545</v>
      </c>
      <c r="S22">
        <v>1</v>
      </c>
      <c r="T22">
        <v>312.8</v>
      </c>
      <c r="U22">
        <v>296</v>
      </c>
      <c r="V22" t="s">
        <v>546</v>
      </c>
      <c r="W22" t="s">
        <v>547</v>
      </c>
      <c r="X22" t="s">
        <v>200</v>
      </c>
      <c r="Y22" t="s">
        <v>548</v>
      </c>
      <c r="Z22" t="s">
        <v>549</v>
      </c>
      <c r="AB22" t="s">
        <v>204</v>
      </c>
      <c r="AC22" t="s">
        <v>245</v>
      </c>
      <c r="AD22" t="s">
        <v>246</v>
      </c>
      <c r="AE22" t="s">
        <v>207</v>
      </c>
      <c r="AF22" t="s">
        <v>207</v>
      </c>
      <c r="AG22" t="s">
        <v>361</v>
      </c>
      <c r="AH22" t="s">
        <v>207</v>
      </c>
      <c r="AI22" t="s">
        <v>270</v>
      </c>
      <c r="AJ22" t="s">
        <v>210</v>
      </c>
      <c r="AK22" t="s">
        <v>290</v>
      </c>
      <c r="AL22" t="s">
        <v>291</v>
      </c>
      <c r="AM22" t="s">
        <v>207</v>
      </c>
      <c r="AN22" t="s">
        <v>207</v>
      </c>
    </row>
    <row r="23" ht="25.5" customHeight="1" spans="1:41">
      <c r="A23" t="s">
        <v>48</v>
      </c>
      <c r="B23" t="s">
        <v>48</v>
      </c>
      <c r="C23" s="2" t="str">
        <f>HYPERLINK("http:///packages/goods/detail/index?alias=2oody86y2csixub","/packages/goods/detail/index?alias=2oody86y2csixub")</f>
        <v>/packages/goods/detail/index?alias=2oody86y2csixub</v>
      </c>
      <c r="D23" t="s">
        <v>550</v>
      </c>
      <c r="E23" t="s">
        <v>551</v>
      </c>
      <c r="F23" t="s">
        <v>552</v>
      </c>
      <c r="G23" t="s">
        <v>553</v>
      </c>
      <c r="H23" t="s">
        <v>554</v>
      </c>
      <c r="I23" t="s">
        <v>555</v>
      </c>
      <c r="J23" t="s">
        <v>191</v>
      </c>
      <c r="K23" t="s">
        <v>192</v>
      </c>
      <c r="L23" t="s">
        <v>193</v>
      </c>
      <c r="M23" t="s">
        <v>556</v>
      </c>
      <c r="N23" t="s">
        <v>557</v>
      </c>
      <c r="O23" t="s">
        <v>558</v>
      </c>
      <c r="P23" t="s">
        <v>559</v>
      </c>
      <c r="Q23">
        <v>78.2</v>
      </c>
      <c r="S23">
        <v>4</v>
      </c>
      <c r="T23">
        <v>312.8</v>
      </c>
      <c r="V23" t="s">
        <v>560</v>
      </c>
      <c r="X23" t="s">
        <v>200</v>
      </c>
      <c r="Y23" t="s">
        <v>561</v>
      </c>
      <c r="Z23" t="s">
        <v>562</v>
      </c>
      <c r="AA23" t="s">
        <v>563</v>
      </c>
      <c r="AB23" t="s">
        <v>204</v>
      </c>
      <c r="AC23" t="s">
        <v>245</v>
      </c>
      <c r="AD23" t="s">
        <v>226</v>
      </c>
      <c r="AE23" t="s">
        <v>207</v>
      </c>
      <c r="AF23" t="s">
        <v>207</v>
      </c>
      <c r="AG23" t="s">
        <v>361</v>
      </c>
      <c r="AH23" t="s">
        <v>207</v>
      </c>
      <c r="AI23" t="s">
        <v>270</v>
      </c>
      <c r="AJ23" t="s">
        <v>229</v>
      </c>
      <c r="AK23" t="s">
        <v>272</v>
      </c>
      <c r="AL23" t="s">
        <v>273</v>
      </c>
    </row>
    <row r="24" ht="25.5" customHeight="1" spans="1:41">
      <c r="A24" t="s">
        <v>564</v>
      </c>
      <c r="B24" t="s">
        <v>564</v>
      </c>
      <c r="C24" s="2" t="str">
        <f>HYPERLINK("http:///packages/goods/detail/index?alias=3f4kquq9vngc986","/packages/goods/detail/index?alias=3f4kquq9vngc986")</f>
        <v>/packages/goods/detail/index?alias=3f4kquq9vngc986</v>
      </c>
      <c r="D24" t="s">
        <v>565</v>
      </c>
      <c r="F24" t="s">
        <v>566</v>
      </c>
      <c r="G24" t="s">
        <v>567</v>
      </c>
      <c r="H24" t="s">
        <v>568</v>
      </c>
      <c r="J24" t="s">
        <v>569</v>
      </c>
      <c r="K24" t="s">
        <v>192</v>
      </c>
      <c r="L24" t="s">
        <v>257</v>
      </c>
      <c r="M24" t="s">
        <v>570</v>
      </c>
      <c r="N24" t="s">
        <v>571</v>
      </c>
      <c r="O24" t="s">
        <v>572</v>
      </c>
      <c r="P24" t="s">
        <v>573</v>
      </c>
      <c r="Q24">
        <v>58.2</v>
      </c>
      <c r="S24">
        <v>4</v>
      </c>
      <c r="T24">
        <v>232.8</v>
      </c>
      <c r="X24" t="s">
        <v>574</v>
      </c>
      <c r="Y24" t="s">
        <v>575</v>
      </c>
      <c r="Z24" t="s">
        <v>576</v>
      </c>
      <c r="AA24" t="s">
        <v>577</v>
      </c>
      <c r="AB24" t="s">
        <v>204</v>
      </c>
      <c r="AC24" t="s">
        <v>245</v>
      </c>
      <c r="AD24" t="s">
        <v>206</v>
      </c>
      <c r="AE24" t="s">
        <v>207</v>
      </c>
      <c r="AF24" t="s">
        <v>207</v>
      </c>
      <c r="AG24" t="s">
        <v>578</v>
      </c>
      <c r="AH24" t="s">
        <v>579</v>
      </c>
      <c r="AI24" t="s">
        <v>580</v>
      </c>
      <c r="AJ24" t="s">
        <v>581</v>
      </c>
      <c r="AK24" t="s">
        <v>582</v>
      </c>
      <c r="AL24" t="s">
        <v>582</v>
      </c>
      <c r="AM24" t="s">
        <v>207</v>
      </c>
    </row>
    <row r="25" ht="25.5" customHeight="1" spans="1:41">
      <c r="A25" t="s">
        <v>46</v>
      </c>
      <c r="B25" t="s">
        <v>583</v>
      </c>
      <c r="C25" s="2" t="str">
        <f>HYPERLINK("http:///packages/goods/detail/index?alias=3eqzqutdbj9d5gw","/packages/goods/detail/index?alias=3eqzqutdbj9d5gw")</f>
        <v>/packages/goods/detail/index?alias=3eqzqutdbj9d5gw</v>
      </c>
      <c r="D25" t="s">
        <v>584</v>
      </c>
      <c r="E25" t="s">
        <v>585</v>
      </c>
      <c r="F25" t="s">
        <v>586</v>
      </c>
      <c r="G25" t="s">
        <v>587</v>
      </c>
      <c r="H25" t="s">
        <v>588</v>
      </c>
      <c r="J25" t="s">
        <v>191</v>
      </c>
      <c r="K25" t="s">
        <v>192</v>
      </c>
      <c r="L25" t="s">
        <v>193</v>
      </c>
      <c r="M25" t="s">
        <v>589</v>
      </c>
      <c r="N25" t="s">
        <v>590</v>
      </c>
      <c r="O25" t="s">
        <v>591</v>
      </c>
      <c r="P25" t="s">
        <v>592</v>
      </c>
      <c r="Q25">
        <v>148.2</v>
      </c>
      <c r="R25" t="s">
        <v>261</v>
      </c>
      <c r="S25">
        <v>1</v>
      </c>
      <c r="T25">
        <v>148.2</v>
      </c>
      <c r="U25">
        <v>139</v>
      </c>
      <c r="X25" t="s">
        <v>200</v>
      </c>
      <c r="Y25" t="s">
        <v>593</v>
      </c>
      <c r="Z25" t="s">
        <v>594</v>
      </c>
      <c r="AB25" t="s">
        <v>204</v>
      </c>
      <c r="AC25" t="s">
        <v>245</v>
      </c>
      <c r="AD25" t="s">
        <v>246</v>
      </c>
      <c r="AE25" t="s">
        <v>595</v>
      </c>
      <c r="AF25" t="s">
        <v>207</v>
      </c>
      <c r="AG25" t="s">
        <v>361</v>
      </c>
      <c r="AI25" t="s">
        <v>228</v>
      </c>
      <c r="AJ25" t="s">
        <v>210</v>
      </c>
      <c r="AK25" t="s">
        <v>230</v>
      </c>
      <c r="AL25" t="s">
        <v>231</v>
      </c>
    </row>
    <row r="26" ht="25.5" customHeight="1" spans="1:41">
      <c r="A26" t="s">
        <v>50</v>
      </c>
      <c r="B26" t="s">
        <v>50</v>
      </c>
      <c r="C26" s="2" t="str">
        <f>HYPERLINK("http:///packages/goods/detail/index?alias=2786k9mwfgmntye","/packages/goods/detail/index?alias=2786k9mwfgmntye")</f>
        <v>/packages/goods/detail/index?alias=2786k9mwfgmntye</v>
      </c>
      <c r="D26" t="s">
        <v>596</v>
      </c>
      <c r="F26" t="s">
        <v>597</v>
      </c>
      <c r="G26" t="s">
        <v>598</v>
      </c>
      <c r="H26" t="s">
        <v>599</v>
      </c>
      <c r="J26" t="s">
        <v>191</v>
      </c>
      <c r="K26" t="s">
        <v>192</v>
      </c>
      <c r="L26" t="s">
        <v>257</v>
      </c>
      <c r="M26" t="s">
        <v>600</v>
      </c>
      <c r="N26" t="s">
        <v>601</v>
      </c>
      <c r="O26" t="s">
        <v>602</v>
      </c>
      <c r="P26" t="s">
        <v>603</v>
      </c>
      <c r="Q26">
        <v>78.2</v>
      </c>
      <c r="S26">
        <v>4</v>
      </c>
      <c r="T26">
        <v>312.8</v>
      </c>
      <c r="X26" t="s">
        <v>200</v>
      </c>
      <c r="Y26" t="s">
        <v>604</v>
      </c>
      <c r="Z26" t="s">
        <v>605</v>
      </c>
      <c r="AA26" t="s">
        <v>606</v>
      </c>
      <c r="AB26" t="s">
        <v>204</v>
      </c>
      <c r="AC26" t="s">
        <v>245</v>
      </c>
      <c r="AD26" t="s">
        <v>206</v>
      </c>
      <c r="AE26" t="s">
        <v>207</v>
      </c>
      <c r="AF26" t="s">
        <v>207</v>
      </c>
      <c r="AG26" t="s">
        <v>208</v>
      </c>
      <c r="AH26" t="s">
        <v>207</v>
      </c>
      <c r="AI26" t="s">
        <v>607</v>
      </c>
      <c r="AJ26" t="s">
        <v>581</v>
      </c>
      <c r="AK26" t="s">
        <v>608</v>
      </c>
      <c r="AL26" t="s">
        <v>608</v>
      </c>
      <c r="AM26" t="s">
        <v>207</v>
      </c>
      <c r="AN26" t="s">
        <v>207</v>
      </c>
      <c r="AO26" t="s">
        <v>207</v>
      </c>
    </row>
    <row r="27" ht="25.5" customHeight="1" spans="1:41">
      <c r="A27" t="s">
        <v>67</v>
      </c>
      <c r="B27" t="s">
        <v>67</v>
      </c>
      <c r="C27" s="2" t="str">
        <f>HYPERLINK("http:///packages/goods/detail/index?alias=2oujhyeqvt4x5ya","/packages/goods/detail/index?alias=2oujhyeqvt4x5ya")</f>
        <v>/packages/goods/detail/index?alias=2oujhyeqvt4x5ya</v>
      </c>
      <c r="D27" t="s">
        <v>609</v>
      </c>
      <c r="E27" t="s">
        <v>610</v>
      </c>
      <c r="F27" t="s">
        <v>611</v>
      </c>
      <c r="G27" t="s">
        <v>612</v>
      </c>
      <c r="H27" t="s">
        <v>613</v>
      </c>
      <c r="I27" t="s">
        <v>614</v>
      </c>
      <c r="J27" t="s">
        <v>615</v>
      </c>
      <c r="K27" t="s">
        <v>192</v>
      </c>
      <c r="L27" t="s">
        <v>193</v>
      </c>
      <c r="M27" t="s">
        <v>616</v>
      </c>
      <c r="N27" t="s">
        <v>617</v>
      </c>
      <c r="O27" t="s">
        <v>618</v>
      </c>
      <c r="P27" t="s">
        <v>619</v>
      </c>
      <c r="Q27">
        <v>79</v>
      </c>
      <c r="S27">
        <v>4</v>
      </c>
      <c r="T27">
        <v>316</v>
      </c>
      <c r="X27" t="s">
        <v>200</v>
      </c>
      <c r="Y27" t="s">
        <v>620</v>
      </c>
      <c r="Z27" t="s">
        <v>621</v>
      </c>
      <c r="AA27" t="s">
        <v>622</v>
      </c>
      <c r="AB27" t="s">
        <v>204</v>
      </c>
      <c r="AC27" t="s">
        <v>623</v>
      </c>
      <c r="AD27" t="s">
        <v>624</v>
      </c>
      <c r="AE27" t="s">
        <v>207</v>
      </c>
      <c r="AF27" t="s">
        <v>207</v>
      </c>
      <c r="AG27" t="s">
        <v>515</v>
      </c>
      <c r="AH27" t="s">
        <v>207</v>
      </c>
      <c r="AJ27" t="s">
        <v>625</v>
      </c>
      <c r="AK27" t="s">
        <v>626</v>
      </c>
      <c r="AL27" t="s">
        <v>626</v>
      </c>
    </row>
    <row r="28" ht="25.5" customHeight="1" spans="1:41">
      <c r="A28" t="s">
        <v>77</v>
      </c>
      <c r="B28" t="s">
        <v>77</v>
      </c>
      <c r="C28" s="2" t="str">
        <f>HYPERLINK("http:///packages/goods/detail/index?alias=3f0taimjrnispbx","/packages/goods/detail/index?alias=3f0taimjrnispbx")</f>
        <v>/packages/goods/detail/index?alias=3f0taimjrnispbx</v>
      </c>
      <c r="D28" t="s">
        <v>627</v>
      </c>
      <c r="E28" t="s">
        <v>628</v>
      </c>
      <c r="F28" t="s">
        <v>629</v>
      </c>
      <c r="G28" t="s">
        <v>630</v>
      </c>
      <c r="H28" t="s">
        <v>631</v>
      </c>
      <c r="I28" t="s">
        <v>632</v>
      </c>
      <c r="J28" t="s">
        <v>633</v>
      </c>
      <c r="K28" t="s">
        <v>192</v>
      </c>
      <c r="L28" t="s">
        <v>193</v>
      </c>
      <c r="M28" t="s">
        <v>634</v>
      </c>
      <c r="N28" t="s">
        <v>635</v>
      </c>
      <c r="O28" t="s">
        <v>636</v>
      </c>
      <c r="P28" t="s">
        <v>637</v>
      </c>
      <c r="Q28">
        <v>88.2</v>
      </c>
      <c r="S28">
        <v>4</v>
      </c>
      <c r="T28">
        <v>356</v>
      </c>
      <c r="V28" t="s">
        <v>638</v>
      </c>
      <c r="X28" t="s">
        <v>639</v>
      </c>
      <c r="Y28" t="s">
        <v>640</v>
      </c>
      <c r="Z28" t="s">
        <v>641</v>
      </c>
      <c r="AB28" t="s">
        <v>642</v>
      </c>
      <c r="AC28" t="s">
        <v>643</v>
      </c>
      <c r="AD28" t="s">
        <v>226</v>
      </c>
      <c r="AF28" t="s">
        <v>207</v>
      </c>
      <c r="AG28" t="s">
        <v>361</v>
      </c>
      <c r="AH28" t="s">
        <v>644</v>
      </c>
      <c r="AJ28" t="s">
        <v>645</v>
      </c>
    </row>
    <row r="29" ht="25.5" customHeight="1" spans="1:41">
      <c r="A29" t="s">
        <v>78</v>
      </c>
      <c r="B29" t="s">
        <v>78</v>
      </c>
      <c r="C29" s="2" t="str">
        <f>HYPERLINK("http:///packages/goods/detail/index?alias=1y9egodk6bbllpq","/packages/goods/detail/index?alias=1y9egodk6bbllpq")</f>
        <v>/packages/goods/detail/index?alias=1y9egodk6bbllpq</v>
      </c>
      <c r="D29" t="s">
        <v>646</v>
      </c>
      <c r="E29" t="s">
        <v>647</v>
      </c>
      <c r="F29" t="s">
        <v>648</v>
      </c>
      <c r="G29" t="s">
        <v>649</v>
      </c>
      <c r="H29" t="s">
        <v>650</v>
      </c>
      <c r="I29" t="s">
        <v>651</v>
      </c>
      <c r="J29" t="s">
        <v>569</v>
      </c>
      <c r="K29" t="s">
        <v>192</v>
      </c>
      <c r="L29" t="s">
        <v>193</v>
      </c>
      <c r="M29" t="s">
        <v>652</v>
      </c>
      <c r="N29" t="s">
        <v>653</v>
      </c>
      <c r="O29" t="s">
        <v>654</v>
      </c>
      <c r="P29" t="s">
        <v>655</v>
      </c>
      <c r="Q29">
        <v>89</v>
      </c>
      <c r="S29">
        <v>4</v>
      </c>
      <c r="T29">
        <v>356</v>
      </c>
      <c r="X29" t="s">
        <v>200</v>
      </c>
      <c r="Y29" t="s">
        <v>656</v>
      </c>
      <c r="Z29" t="s">
        <v>657</v>
      </c>
      <c r="AA29" t="s">
        <v>513</v>
      </c>
      <c r="AB29" t="s">
        <v>658</v>
      </c>
      <c r="AC29" t="s">
        <v>659</v>
      </c>
      <c r="AD29" t="s">
        <v>660</v>
      </c>
      <c r="AE29" t="s">
        <v>207</v>
      </c>
      <c r="AF29" t="s">
        <v>207</v>
      </c>
      <c r="AG29" t="s">
        <v>661</v>
      </c>
      <c r="AH29" t="s">
        <v>662</v>
      </c>
      <c r="AI29" t="s">
        <v>663</v>
      </c>
      <c r="AJ29" t="s">
        <v>664</v>
      </c>
      <c r="AK29" t="s">
        <v>665</v>
      </c>
      <c r="AL29" t="s">
        <v>665</v>
      </c>
    </row>
    <row r="30" ht="25.5" customHeight="1" spans="1:41">
      <c r="A30" t="s">
        <v>666</v>
      </c>
      <c r="B30" t="s">
        <v>666</v>
      </c>
      <c r="C30" s="2" t="str">
        <f>HYPERLINK("http:///packages/goods/detail/index?alias=27am7tyznehxl1i","/packages/goods/detail/index?alias=27am7tyznehxl1i")</f>
        <v>/packages/goods/detail/index?alias=27am7tyznehxl1i</v>
      </c>
      <c r="D30" t="s">
        <v>667</v>
      </c>
      <c r="E30" t="s">
        <v>668</v>
      </c>
      <c r="F30" t="s">
        <v>669</v>
      </c>
      <c r="G30" t="s">
        <v>670</v>
      </c>
      <c r="H30" t="s">
        <v>671</v>
      </c>
      <c r="I30" t="s">
        <v>672</v>
      </c>
      <c r="J30" t="s">
        <v>673</v>
      </c>
      <c r="K30" t="s">
        <v>192</v>
      </c>
      <c r="L30" t="s">
        <v>193</v>
      </c>
      <c r="M30" t="s">
        <v>674</v>
      </c>
      <c r="N30" t="s">
        <v>675</v>
      </c>
      <c r="O30" t="s">
        <v>676</v>
      </c>
      <c r="P30" t="s">
        <v>677</v>
      </c>
      <c r="Q30">
        <v>109</v>
      </c>
      <c r="S30">
        <v>3</v>
      </c>
      <c r="T30">
        <v>327</v>
      </c>
      <c r="V30" t="s">
        <v>678</v>
      </c>
      <c r="W30" t="s">
        <v>679</v>
      </c>
      <c r="X30" t="s">
        <v>200</v>
      </c>
      <c r="Y30" t="s">
        <v>264</v>
      </c>
      <c r="Z30" t="s">
        <v>680</v>
      </c>
      <c r="AA30" t="s">
        <v>681</v>
      </c>
      <c r="AB30" t="s">
        <v>204</v>
      </c>
      <c r="AC30" t="s">
        <v>245</v>
      </c>
      <c r="AD30" t="s">
        <v>226</v>
      </c>
      <c r="AF30" t="s">
        <v>207</v>
      </c>
      <c r="AG30" t="s">
        <v>361</v>
      </c>
      <c r="AJ30" t="s">
        <v>229</v>
      </c>
      <c r="AK30" t="s">
        <v>682</v>
      </c>
      <c r="AL30" t="s">
        <v>683</v>
      </c>
    </row>
    <row r="31" ht="25.5" customHeight="1" spans="1:41">
      <c r="A31" t="s">
        <v>84</v>
      </c>
      <c r="B31" t="s">
        <v>684</v>
      </c>
      <c r="C31" s="2" t="str">
        <f>HYPERLINK("http:///packages/goods/detail/index?alias=2785iqa99qamxom","/packages/goods/detail/index?alias=2785iqa99qamxom")</f>
        <v>/packages/goods/detail/index?alias=2785iqa99qamxom</v>
      </c>
      <c r="F31" t="s">
        <v>685</v>
      </c>
      <c r="G31" t="s">
        <v>686</v>
      </c>
      <c r="H31" t="s">
        <v>687</v>
      </c>
      <c r="I31" t="s">
        <v>688</v>
      </c>
      <c r="J31" t="s">
        <v>689</v>
      </c>
      <c r="K31" t="s">
        <v>192</v>
      </c>
      <c r="L31" t="s">
        <v>193</v>
      </c>
      <c r="M31" t="s">
        <v>690</v>
      </c>
      <c r="O31" t="s">
        <v>691</v>
      </c>
      <c r="Q31">
        <v>300</v>
      </c>
      <c r="S31">
        <v>1</v>
      </c>
      <c r="T31">
        <v>300</v>
      </c>
      <c r="V31" t="s">
        <v>692</v>
      </c>
      <c r="W31" t="s">
        <v>693</v>
      </c>
      <c r="X31" t="s">
        <v>200</v>
      </c>
      <c r="Y31" t="s">
        <v>694</v>
      </c>
      <c r="Z31" t="s">
        <v>695</v>
      </c>
      <c r="AA31" t="s">
        <v>696</v>
      </c>
      <c r="AB31" t="s">
        <v>204</v>
      </c>
      <c r="AC31" t="s">
        <v>205</v>
      </c>
      <c r="AD31" t="s">
        <v>206</v>
      </c>
      <c r="AG31" t="s">
        <v>361</v>
      </c>
      <c r="AJ31" t="s">
        <v>473</v>
      </c>
    </row>
    <row r="32" ht="25.5" customHeight="1" spans="1:41">
      <c r="A32" t="s">
        <v>80</v>
      </c>
      <c r="B32" t="s">
        <v>80</v>
      </c>
      <c r="C32" s="2" t="str">
        <f>HYPERLINK("http:///packages/goods/detail/index?alias=1yj91pen8el15q3","/packages/goods/detail/index?alias=1yj91pen8el15q3")</f>
        <v>/packages/goods/detail/index?alias=1yj91pen8el15q3</v>
      </c>
      <c r="D32" t="s">
        <v>697</v>
      </c>
      <c r="E32" t="s">
        <v>698</v>
      </c>
      <c r="F32" t="s">
        <v>699</v>
      </c>
      <c r="G32" t="s">
        <v>700</v>
      </c>
      <c r="H32" t="s">
        <v>701</v>
      </c>
      <c r="I32" t="s">
        <v>702</v>
      </c>
      <c r="J32" t="s">
        <v>191</v>
      </c>
      <c r="K32" t="s">
        <v>192</v>
      </c>
      <c r="L32" t="s">
        <v>193</v>
      </c>
      <c r="M32" t="s">
        <v>703</v>
      </c>
      <c r="O32" t="s">
        <v>704</v>
      </c>
      <c r="P32" t="s">
        <v>705</v>
      </c>
      <c r="Q32">
        <v>169</v>
      </c>
      <c r="S32">
        <v>4</v>
      </c>
      <c r="T32">
        <v>676</v>
      </c>
      <c r="V32" t="s">
        <v>706</v>
      </c>
      <c r="X32" t="s">
        <v>200</v>
      </c>
      <c r="Y32" t="s">
        <v>264</v>
      </c>
      <c r="Z32" t="s">
        <v>224</v>
      </c>
      <c r="AB32" t="s">
        <v>204</v>
      </c>
      <c r="AC32" t="s">
        <v>245</v>
      </c>
      <c r="AD32" t="s">
        <v>226</v>
      </c>
      <c r="AF32" t="s">
        <v>207</v>
      </c>
      <c r="AG32" t="s">
        <v>707</v>
      </c>
      <c r="AH32" t="s">
        <v>708</v>
      </c>
      <c r="AJ32" t="s">
        <v>229</v>
      </c>
      <c r="AK32" t="s">
        <v>709</v>
      </c>
      <c r="AL32" t="s">
        <v>710</v>
      </c>
    </row>
    <row r="33" ht="25.5" customHeight="1" spans="1:38">
      <c r="A33" t="s">
        <v>711</v>
      </c>
      <c r="B33" t="s">
        <v>71</v>
      </c>
      <c r="C33" s="2" t="str">
        <f>HYPERLINK("http:///packages/goods/detail/index?alias=3f0uojvcon5s9su","/packages/goods/detail/index?alias=3f0uojvcon5s9su")</f>
        <v>/packages/goods/detail/index?alias=3f0uojvcon5s9su</v>
      </c>
      <c r="D33" t="s">
        <v>712</v>
      </c>
      <c r="E33" t="s">
        <v>71</v>
      </c>
      <c r="F33" t="s">
        <v>713</v>
      </c>
      <c r="G33" t="s">
        <v>714</v>
      </c>
      <c r="H33" t="s">
        <v>715</v>
      </c>
      <c r="I33" t="s">
        <v>716</v>
      </c>
      <c r="J33" t="s">
        <v>191</v>
      </c>
      <c r="K33" t="s">
        <v>192</v>
      </c>
      <c r="L33" t="s">
        <v>193</v>
      </c>
      <c r="N33" t="s">
        <v>717</v>
      </c>
      <c r="O33" t="s">
        <v>718</v>
      </c>
      <c r="P33" t="s">
        <v>493</v>
      </c>
      <c r="Q33">
        <v>370</v>
      </c>
      <c r="S33">
        <v>1</v>
      </c>
      <c r="T33">
        <v>370</v>
      </c>
      <c r="V33" t="s">
        <v>719</v>
      </c>
      <c r="W33" t="s">
        <v>720</v>
      </c>
      <c r="X33" t="s">
        <v>200</v>
      </c>
      <c r="Y33" t="s">
        <v>721</v>
      </c>
      <c r="Z33" t="s">
        <v>722</v>
      </c>
      <c r="AA33" t="s">
        <v>723</v>
      </c>
      <c r="AB33" t="s">
        <v>204</v>
      </c>
      <c r="AC33" t="s">
        <v>659</v>
      </c>
      <c r="AD33" t="s">
        <v>724</v>
      </c>
      <c r="AE33" t="s">
        <v>595</v>
      </c>
      <c r="AF33" t="s">
        <v>207</v>
      </c>
      <c r="AG33" t="s">
        <v>725</v>
      </c>
      <c r="AI33" t="s">
        <v>726</v>
      </c>
      <c r="AJ33" t="s">
        <v>727</v>
      </c>
      <c r="AK33" t="s">
        <v>230</v>
      </c>
      <c r="AL33" t="s">
        <v>231</v>
      </c>
    </row>
    <row r="34" ht="25.5" customHeight="1" spans="1:38">
      <c r="A34" t="s">
        <v>43</v>
      </c>
      <c r="B34" t="s">
        <v>43</v>
      </c>
      <c r="C34" s="2" t="str">
        <f>HYPERLINK("http:///packages/goods/detail/index?alias=3nkt9800nhdehx9","/packages/goods/detail/index?alias=3nkt9800nhdehx9")</f>
        <v>/packages/goods/detail/index?alias=3nkt9800nhdehx9</v>
      </c>
      <c r="D34" t="s">
        <v>728</v>
      </c>
      <c r="F34" t="s">
        <v>729</v>
      </c>
      <c r="G34" t="s">
        <v>730</v>
      </c>
      <c r="H34" t="s">
        <v>731</v>
      </c>
      <c r="I34" t="s">
        <v>370</v>
      </c>
      <c r="J34" t="s">
        <v>191</v>
      </c>
      <c r="K34" t="s">
        <v>192</v>
      </c>
      <c r="L34" t="s">
        <v>193</v>
      </c>
      <c r="M34" t="s">
        <v>732</v>
      </c>
      <c r="N34" t="s">
        <v>733</v>
      </c>
      <c r="O34" t="s">
        <v>734</v>
      </c>
      <c r="P34" t="s">
        <v>222</v>
      </c>
      <c r="Q34">
        <v>247.2</v>
      </c>
      <c r="S34">
        <v>1</v>
      </c>
      <c r="T34">
        <v>247.2</v>
      </c>
      <c r="V34" t="s">
        <v>735</v>
      </c>
      <c r="W34" t="s">
        <v>736</v>
      </c>
      <c r="X34" t="s">
        <v>200</v>
      </c>
      <c r="Y34" t="s">
        <v>737</v>
      </c>
      <c r="Z34" t="s">
        <v>738</v>
      </c>
      <c r="AA34" t="s">
        <v>739</v>
      </c>
      <c r="AB34" t="s">
        <v>204</v>
      </c>
      <c r="AC34" t="s">
        <v>245</v>
      </c>
      <c r="AD34" t="s">
        <v>206</v>
      </c>
      <c r="AF34" t="s">
        <v>207</v>
      </c>
      <c r="AG34" t="s">
        <v>361</v>
      </c>
      <c r="AH34" t="s">
        <v>207</v>
      </c>
      <c r="AI34" t="s">
        <v>228</v>
      </c>
      <c r="AJ34" t="s">
        <v>473</v>
      </c>
      <c r="AK34" t="s">
        <v>230</v>
      </c>
      <c r="AL34" t="s">
        <v>231</v>
      </c>
    </row>
    <row r="35" ht="25.5" customHeight="1" spans="1:38">
      <c r="A35" t="s">
        <v>740</v>
      </c>
      <c r="B35" t="s">
        <v>740</v>
      </c>
      <c r="C35" s="2" t="str">
        <f>HYPERLINK("http:///packages/goods/detail/index?alias=2g1zwebolun61oj","/packages/goods/detail/index?alias=2g1zwebolun61oj")</f>
        <v>/packages/goods/detail/index?alias=2g1zwebolun61oj</v>
      </c>
      <c r="D35" t="s">
        <v>741</v>
      </c>
      <c r="F35" t="s">
        <v>742</v>
      </c>
      <c r="G35" t="s">
        <v>743</v>
      </c>
      <c r="H35" t="s">
        <v>744</v>
      </c>
      <c r="I35" t="s">
        <v>745</v>
      </c>
      <c r="J35" t="s">
        <v>191</v>
      </c>
      <c r="K35" t="s">
        <v>192</v>
      </c>
      <c r="L35" t="s">
        <v>193</v>
      </c>
      <c r="M35" t="s">
        <v>746</v>
      </c>
      <c r="N35" t="s">
        <v>747</v>
      </c>
      <c r="O35" t="s">
        <v>748</v>
      </c>
      <c r="P35" t="s">
        <v>749</v>
      </c>
      <c r="Q35">
        <v>78.2</v>
      </c>
      <c r="S35">
        <v>4</v>
      </c>
      <c r="T35">
        <v>312.8</v>
      </c>
      <c r="X35" t="s">
        <v>200</v>
      </c>
      <c r="Y35" t="s">
        <v>264</v>
      </c>
      <c r="Z35" t="s">
        <v>750</v>
      </c>
      <c r="AA35" t="s">
        <v>751</v>
      </c>
      <c r="AB35" t="s">
        <v>752</v>
      </c>
      <c r="AC35" t="s">
        <v>245</v>
      </c>
      <c r="AD35" t="s">
        <v>226</v>
      </c>
      <c r="AF35" t="s">
        <v>207</v>
      </c>
      <c r="AG35" t="s">
        <v>578</v>
      </c>
      <c r="AI35" t="s">
        <v>228</v>
      </c>
      <c r="AJ35" t="s">
        <v>229</v>
      </c>
      <c r="AK35" t="s">
        <v>231</v>
      </c>
      <c r="AL35" t="s">
        <v>231</v>
      </c>
    </row>
    <row r="36" ht="25.5" customHeight="1" spans="1:38">
      <c r="A36" t="s">
        <v>753</v>
      </c>
      <c r="B36" t="s">
        <v>754</v>
      </c>
      <c r="C36" s="2" t="str">
        <f>HYPERLINK("http:///packages/goods/detail/index?alias=363bshhjc17q1kz","/packages/goods/detail/index?alias=363bshhjc17q1kz")</f>
        <v>/packages/goods/detail/index?alias=363bshhjc17q1kz</v>
      </c>
      <c r="D36" t="s">
        <v>755</v>
      </c>
      <c r="E36" t="s">
        <v>756</v>
      </c>
      <c r="F36" t="s">
        <v>757</v>
      </c>
      <c r="G36" t="s">
        <v>758</v>
      </c>
      <c r="H36" t="s">
        <v>759</v>
      </c>
      <c r="I36" t="s">
        <v>463</v>
      </c>
      <c r="J36" t="s">
        <v>760</v>
      </c>
      <c r="K36" t="s">
        <v>192</v>
      </c>
      <c r="L36" t="s">
        <v>193</v>
      </c>
      <c r="M36" t="s">
        <v>761</v>
      </c>
      <c r="O36" t="s">
        <v>762</v>
      </c>
      <c r="P36" t="s">
        <v>763</v>
      </c>
      <c r="Q36">
        <v>118.2</v>
      </c>
      <c r="S36">
        <v>1</v>
      </c>
      <c r="T36">
        <v>118.2</v>
      </c>
      <c r="X36" t="s">
        <v>200</v>
      </c>
      <c r="Y36" t="s">
        <v>721</v>
      </c>
      <c r="Z36" t="s">
        <v>764</v>
      </c>
      <c r="AA36" t="s">
        <v>765</v>
      </c>
      <c r="AB36" t="s">
        <v>204</v>
      </c>
      <c r="AC36" t="s">
        <v>498</v>
      </c>
      <c r="AD36" t="s">
        <v>226</v>
      </c>
      <c r="AE36" t="s">
        <v>207</v>
      </c>
      <c r="AF36" t="s">
        <v>207</v>
      </c>
      <c r="AG36" t="s">
        <v>361</v>
      </c>
      <c r="AH36" t="s">
        <v>766</v>
      </c>
      <c r="AI36" t="s">
        <v>767</v>
      </c>
      <c r="AJ36" t="s">
        <v>454</v>
      </c>
      <c r="AK36" t="s">
        <v>768</v>
      </c>
      <c r="AL36" t="s">
        <v>768</v>
      </c>
    </row>
    <row r="37" ht="25.5" customHeight="1" spans="1:38">
      <c r="A37" t="s">
        <v>769</v>
      </c>
      <c r="B37" t="s">
        <v>770</v>
      </c>
      <c r="C37" s="2" t="str">
        <f>HYPERLINK("http:///packages/goods/detail/index?alias=3eyec8ji8ae0pjx","/packages/goods/detail/index?alias=3eyec8ji8ae0pjx")</f>
        <v>/packages/goods/detail/index?alias=3eyec8ji8ae0pjx</v>
      </c>
      <c r="D37" t="s">
        <v>771</v>
      </c>
      <c r="E37" t="s">
        <v>756</v>
      </c>
      <c r="F37" t="s">
        <v>772</v>
      </c>
      <c r="G37" t="s">
        <v>773</v>
      </c>
      <c r="H37" t="s">
        <v>774</v>
      </c>
      <c r="J37" t="s">
        <v>569</v>
      </c>
      <c r="K37" t="s">
        <v>775</v>
      </c>
      <c r="L37" t="s">
        <v>193</v>
      </c>
      <c r="M37" t="s">
        <v>776</v>
      </c>
      <c r="N37" t="s">
        <v>777</v>
      </c>
      <c r="O37" t="s">
        <v>778</v>
      </c>
      <c r="P37" t="s">
        <v>779</v>
      </c>
      <c r="Q37">
        <v>69</v>
      </c>
      <c r="S37">
        <v>1</v>
      </c>
      <c r="T37">
        <v>69</v>
      </c>
      <c r="X37" t="s">
        <v>780</v>
      </c>
      <c r="Y37" t="s">
        <v>781</v>
      </c>
      <c r="Z37" t="s">
        <v>782</v>
      </c>
      <c r="AA37" t="s">
        <v>765</v>
      </c>
      <c r="AB37" t="s">
        <v>204</v>
      </c>
      <c r="AC37" t="s">
        <v>783</v>
      </c>
      <c r="AD37" t="s">
        <v>784</v>
      </c>
      <c r="AE37" t="s">
        <v>207</v>
      </c>
      <c r="AF37" t="s">
        <v>207</v>
      </c>
      <c r="AJ37" t="s">
        <v>785</v>
      </c>
      <c r="AK37" t="s">
        <v>786</v>
      </c>
      <c r="AL37" t="s">
        <v>786</v>
      </c>
    </row>
    <row r="38" ht="25.5" customHeight="1" spans="1:38">
      <c r="A38" t="s">
        <v>81</v>
      </c>
      <c r="B38" t="s">
        <v>81</v>
      </c>
      <c r="C38" s="2" t="str">
        <f>HYPERLINK("http:///packages/goods/detail/index?alias=2oukdi1pss17den","/packages/goods/detail/index?alias=2oukdi1pss17den")</f>
        <v>/packages/goods/detail/index?alias=2oukdi1pss17den</v>
      </c>
      <c r="E38" t="s">
        <v>787</v>
      </c>
      <c r="F38" t="s">
        <v>788</v>
      </c>
      <c r="G38" t="s">
        <v>789</v>
      </c>
      <c r="H38" t="s">
        <v>790</v>
      </c>
      <c r="I38" t="s">
        <v>791</v>
      </c>
      <c r="J38" t="s">
        <v>191</v>
      </c>
      <c r="K38" t="s">
        <v>192</v>
      </c>
      <c r="L38" t="s">
        <v>193</v>
      </c>
      <c r="M38" t="s">
        <v>792</v>
      </c>
      <c r="O38" t="s">
        <v>793</v>
      </c>
      <c r="Q38">
        <v>95</v>
      </c>
      <c r="S38">
        <v>4</v>
      </c>
      <c r="T38">
        <v>380</v>
      </c>
      <c r="X38" t="s">
        <v>200</v>
      </c>
      <c r="Y38" t="s">
        <v>794</v>
      </c>
      <c r="Z38" t="s">
        <v>795</v>
      </c>
      <c r="AB38" t="s">
        <v>204</v>
      </c>
      <c r="AC38" t="s">
        <v>245</v>
      </c>
      <c r="AD38" t="s">
        <v>226</v>
      </c>
      <c r="AF38" t="s">
        <v>207</v>
      </c>
      <c r="AJ38" t="s">
        <v>229</v>
      </c>
      <c r="AK38" t="s">
        <v>796</v>
      </c>
      <c r="AL38" t="s">
        <v>796</v>
      </c>
    </row>
    <row r="39" ht="25.5" customHeight="1" spans="1:38">
      <c r="A39" t="s">
        <v>86</v>
      </c>
      <c r="B39" t="s">
        <v>86</v>
      </c>
      <c r="C39" s="2" t="str">
        <f>HYPERLINK("http:///packages/goods/detail/index?alias=2fy9hgborvkm1jz","/packages/goods/detail/index?alias=2fy9hgborvkm1jz")</f>
        <v>/packages/goods/detail/index?alias=2fy9hgborvkm1jz</v>
      </c>
      <c r="G39" t="s">
        <v>797</v>
      </c>
      <c r="H39" t="s">
        <v>798</v>
      </c>
      <c r="I39" t="s">
        <v>799</v>
      </c>
      <c r="J39" t="s">
        <v>689</v>
      </c>
      <c r="K39" t="s">
        <v>192</v>
      </c>
      <c r="L39" t="s">
        <v>193</v>
      </c>
      <c r="M39" t="s">
        <v>800</v>
      </c>
      <c r="O39" t="s">
        <v>801</v>
      </c>
      <c r="Q39">
        <v>209</v>
      </c>
      <c r="S39">
        <v>1</v>
      </c>
      <c r="T39">
        <v>209</v>
      </c>
      <c r="V39" t="s">
        <v>802</v>
      </c>
      <c r="X39" t="s">
        <v>200</v>
      </c>
      <c r="Y39" t="s">
        <v>803</v>
      </c>
      <c r="Z39" t="s">
        <v>804</v>
      </c>
      <c r="AA39" t="s">
        <v>805</v>
      </c>
      <c r="AB39" t="s">
        <v>204</v>
      </c>
      <c r="AC39" t="s">
        <v>806</v>
      </c>
      <c r="AG39" t="s">
        <v>807</v>
      </c>
      <c r="AJ39" t="s">
        <v>727</v>
      </c>
      <c r="AK39" t="s">
        <v>808</v>
      </c>
      <c r="AL39" t="s">
        <v>501</v>
      </c>
    </row>
    <row r="40" ht="25.5" customHeight="1" spans="1:38">
      <c r="A40" t="s">
        <v>88</v>
      </c>
      <c r="B40" t="s">
        <v>809</v>
      </c>
      <c r="C40" s="2" t="str">
        <f>HYPERLINK("http:///packages/goods/detail/index?alias=2fx26g9fzjm49rn","/packages/goods/detail/index?alias=2fx26g9fzjm49rn")</f>
        <v>/packages/goods/detail/index?alias=2fx26g9fzjm49rn</v>
      </c>
      <c r="G40" t="s">
        <v>810</v>
      </c>
      <c r="H40" t="s">
        <v>811</v>
      </c>
      <c r="I40" t="s">
        <v>812</v>
      </c>
      <c r="J40" t="s">
        <v>673</v>
      </c>
      <c r="K40" t="s">
        <v>192</v>
      </c>
      <c r="L40" t="s">
        <v>193</v>
      </c>
      <c r="O40" t="s">
        <v>813</v>
      </c>
      <c r="P40" t="s">
        <v>814</v>
      </c>
      <c r="Q40">
        <v>99</v>
      </c>
      <c r="S40">
        <v>1</v>
      </c>
      <c r="T40">
        <v>99</v>
      </c>
      <c r="V40" t="s">
        <v>815</v>
      </c>
      <c r="X40" t="s">
        <v>200</v>
      </c>
      <c r="Y40" t="s">
        <v>816</v>
      </c>
      <c r="Z40" t="s">
        <v>817</v>
      </c>
      <c r="AA40" t="s">
        <v>818</v>
      </c>
      <c r="AB40" t="s">
        <v>204</v>
      </c>
      <c r="AC40" t="s">
        <v>819</v>
      </c>
      <c r="AD40" t="s">
        <v>226</v>
      </c>
      <c r="AI40" t="s">
        <v>820</v>
      </c>
      <c r="AJ40" t="s">
        <v>210</v>
      </c>
    </row>
    <row r="41" ht="25.5" customHeight="1" spans="1:38">
      <c r="A41" t="s">
        <v>821</v>
      </c>
      <c r="B41" t="s">
        <v>821</v>
      </c>
      <c r="C41" s="2" t="str">
        <f>HYPERLINK("http:///packages/goods/detail/index?alias=3es7x7hjgrytlvg","/packages/goods/detail/index?alias=3es7x7hjgrytlvg")</f>
        <v>/packages/goods/detail/index?alias=3es7x7hjgrytlvg</v>
      </c>
      <c r="D41" t="s">
        <v>822</v>
      </c>
      <c r="F41" t="s">
        <v>823</v>
      </c>
      <c r="G41" t="s">
        <v>824</v>
      </c>
      <c r="H41" t="s">
        <v>825</v>
      </c>
      <c r="J41" t="s">
        <v>826</v>
      </c>
      <c r="K41" t="s">
        <v>192</v>
      </c>
      <c r="L41" t="s">
        <v>193</v>
      </c>
      <c r="M41" t="s">
        <v>827</v>
      </c>
      <c r="O41" t="s">
        <v>828</v>
      </c>
      <c r="P41" t="s">
        <v>829</v>
      </c>
      <c r="Q41">
        <v>89</v>
      </c>
      <c r="S41">
        <v>4</v>
      </c>
      <c r="T41">
        <v>356</v>
      </c>
      <c r="V41" t="s">
        <v>830</v>
      </c>
      <c r="W41" t="s">
        <v>831</v>
      </c>
      <c r="X41" t="s">
        <v>832</v>
      </c>
      <c r="Y41" t="s">
        <v>833</v>
      </c>
      <c r="Z41" t="s">
        <v>834</v>
      </c>
      <c r="AA41" t="s">
        <v>835</v>
      </c>
      <c r="AB41" t="s">
        <v>836</v>
      </c>
      <c r="AC41" t="s">
        <v>837</v>
      </c>
      <c r="AD41" t="s">
        <v>838</v>
      </c>
      <c r="AF41" t="s">
        <v>207</v>
      </c>
      <c r="AJ41" t="s">
        <v>839</v>
      </c>
      <c r="AK41" t="s">
        <v>840</v>
      </c>
      <c r="AL41" t="s">
        <v>840</v>
      </c>
    </row>
    <row r="42" ht="25.5" customHeight="1" spans="1:38">
      <c r="A42" t="s">
        <v>841</v>
      </c>
      <c r="B42" t="s">
        <v>842</v>
      </c>
      <c r="C42" s="2"/>
      <c r="F42" t="s">
        <v>843</v>
      </c>
      <c r="G42" t="s">
        <v>844</v>
      </c>
      <c r="H42" t="s">
        <v>845</v>
      </c>
      <c r="I42" t="s">
        <v>846</v>
      </c>
      <c r="J42" t="s">
        <v>847</v>
      </c>
      <c r="K42" t="s">
        <v>848</v>
      </c>
      <c r="L42" t="s">
        <v>849</v>
      </c>
      <c r="N42" t="s">
        <v>850</v>
      </c>
      <c r="O42" t="s">
        <v>851</v>
      </c>
      <c r="Q42">
        <v>99</v>
      </c>
      <c r="R42" t="s">
        <v>852</v>
      </c>
      <c r="S42">
        <v>3</v>
      </c>
      <c r="T42">
        <v>297</v>
      </c>
      <c r="U42">
        <v>282</v>
      </c>
      <c r="V42" t="s">
        <v>853</v>
      </c>
      <c r="W42" t="s">
        <v>854</v>
      </c>
      <c r="X42" t="s">
        <v>200</v>
      </c>
      <c r="Y42" t="s">
        <v>855</v>
      </c>
      <c r="Z42" t="s">
        <v>856</v>
      </c>
      <c r="AB42" t="s">
        <v>857</v>
      </c>
      <c r="AC42" t="s">
        <v>858</v>
      </c>
      <c r="AD42" t="s">
        <v>859</v>
      </c>
      <c r="AE42" t="s">
        <v>860</v>
      </c>
      <c r="AF42" t="s">
        <v>861</v>
      </c>
      <c r="AG42" t="s">
        <v>862</v>
      </c>
      <c r="AJ42" t="s">
        <v>863</v>
      </c>
    </row>
    <row r="43" ht="25.5" customHeight="1" spans="1:38">
      <c r="A43" t="s">
        <v>100</v>
      </c>
      <c r="B43" t="s">
        <v>100</v>
      </c>
      <c r="C43" s="2"/>
      <c r="E43" t="s">
        <v>864</v>
      </c>
      <c r="F43" t="s">
        <v>865</v>
      </c>
      <c r="G43" t="s">
        <v>866</v>
      </c>
      <c r="H43" t="s">
        <v>867</v>
      </c>
      <c r="I43" t="s">
        <v>868</v>
      </c>
      <c r="J43" t="s">
        <v>868</v>
      </c>
      <c r="K43" t="s">
        <v>869</v>
      </c>
      <c r="L43" t="s">
        <v>849</v>
      </c>
      <c r="O43" t="s">
        <v>870</v>
      </c>
      <c r="P43" t="s">
        <v>871</v>
      </c>
      <c r="Q43">
        <v>59</v>
      </c>
      <c r="S43">
        <v>1</v>
      </c>
      <c r="T43">
        <v>59</v>
      </c>
      <c r="V43" t="s">
        <v>872</v>
      </c>
      <c r="W43" t="s">
        <v>873</v>
      </c>
      <c r="X43" t="s">
        <v>874</v>
      </c>
      <c r="Y43" t="s">
        <v>875</v>
      </c>
      <c r="Z43" t="s">
        <v>876</v>
      </c>
      <c r="AB43" t="s">
        <v>836</v>
      </c>
      <c r="AC43" t="s">
        <v>877</v>
      </c>
      <c r="AD43" t="s">
        <v>871</v>
      </c>
      <c r="AG43" t="s">
        <v>515</v>
      </c>
      <c r="AJ43" t="s">
        <v>664</v>
      </c>
      <c r="AK43" t="s">
        <v>878</v>
      </c>
    </row>
    <row r="44" ht="25.5" customHeight="1" spans="1:38">
      <c r="A44" t="s">
        <v>97</v>
      </c>
      <c r="B44" t="s">
        <v>97</v>
      </c>
      <c r="C44" s="2"/>
      <c r="E44" t="s">
        <v>879</v>
      </c>
      <c r="F44" t="s">
        <v>880</v>
      </c>
      <c r="G44" t="s">
        <v>881</v>
      </c>
      <c r="H44" t="s">
        <v>882</v>
      </c>
      <c r="I44" t="s">
        <v>883</v>
      </c>
      <c r="J44" t="s">
        <v>884</v>
      </c>
      <c r="O44" t="s">
        <v>885</v>
      </c>
      <c r="P44" t="s">
        <v>886</v>
      </c>
      <c r="Q44">
        <v>45</v>
      </c>
      <c r="S44">
        <v>1</v>
      </c>
      <c r="T44">
        <v>45</v>
      </c>
      <c r="X44" t="s">
        <v>887</v>
      </c>
      <c r="Y44" t="s">
        <v>888</v>
      </c>
      <c r="Z44" t="s">
        <v>889</v>
      </c>
      <c r="AA44" t="s">
        <v>890</v>
      </c>
      <c r="AB44" t="s">
        <v>891</v>
      </c>
      <c r="AC44" t="s">
        <v>892</v>
      </c>
      <c r="AJ44" t="s">
        <v>893</v>
      </c>
    </row>
    <row r="45" ht="25.5" customHeight="1" spans="1:38">
      <c r="A45" t="s">
        <v>99</v>
      </c>
      <c r="B45" t="s">
        <v>99</v>
      </c>
      <c r="C45" s="2"/>
      <c r="E45" t="s">
        <v>894</v>
      </c>
      <c r="F45" t="s">
        <v>895</v>
      </c>
      <c r="G45" t="s">
        <v>896</v>
      </c>
      <c r="H45" t="s">
        <v>897</v>
      </c>
      <c r="I45" t="s">
        <v>898</v>
      </c>
      <c r="J45" t="s">
        <v>899</v>
      </c>
      <c r="K45" t="s">
        <v>869</v>
      </c>
      <c r="L45" t="s">
        <v>849</v>
      </c>
      <c r="O45" t="s">
        <v>900</v>
      </c>
      <c r="P45" t="s">
        <v>871</v>
      </c>
      <c r="Q45">
        <v>49</v>
      </c>
      <c r="S45">
        <v>1</v>
      </c>
      <c r="T45">
        <v>49</v>
      </c>
      <c r="V45" t="s">
        <v>901</v>
      </c>
      <c r="W45" t="s">
        <v>902</v>
      </c>
      <c r="X45" t="s">
        <v>903</v>
      </c>
      <c r="Y45" t="s">
        <v>904</v>
      </c>
      <c r="Z45" t="s">
        <v>905</v>
      </c>
      <c r="AB45" t="s">
        <v>891</v>
      </c>
      <c r="AC45" t="s">
        <v>906</v>
      </c>
      <c r="AD45" t="s">
        <v>871</v>
      </c>
      <c r="AG45" t="s">
        <v>208</v>
      </c>
      <c r="AJ45" t="s">
        <v>839</v>
      </c>
      <c r="AK45" t="s">
        <v>907</v>
      </c>
      <c r="AL45" t="s">
        <v>908</v>
      </c>
    </row>
    <row r="46" ht="25.5" customHeight="1" spans="1:38">
      <c r="A46" t="s">
        <v>909</v>
      </c>
      <c r="B46" t="s">
        <v>909</v>
      </c>
      <c r="C46" s="2"/>
      <c r="D46" t="s">
        <v>910</v>
      </c>
      <c r="E46" t="s">
        <v>911</v>
      </c>
      <c r="F46" t="s">
        <v>912</v>
      </c>
      <c r="G46" t="s">
        <v>913</v>
      </c>
      <c r="H46" t="s">
        <v>914</v>
      </c>
      <c r="J46" t="s">
        <v>915</v>
      </c>
      <c r="K46" t="s">
        <v>869</v>
      </c>
      <c r="L46" t="s">
        <v>849</v>
      </c>
      <c r="N46" t="s">
        <v>916</v>
      </c>
      <c r="O46" t="s">
        <v>917</v>
      </c>
      <c r="P46" t="s">
        <v>886</v>
      </c>
      <c r="Q46">
        <v>300</v>
      </c>
      <c r="S46">
        <v>1</v>
      </c>
      <c r="T46">
        <v>300</v>
      </c>
      <c r="X46" t="s">
        <v>918</v>
      </c>
      <c r="Y46" t="s">
        <v>919</v>
      </c>
      <c r="Z46" t="s">
        <v>920</v>
      </c>
      <c r="AB46" t="s">
        <v>891</v>
      </c>
      <c r="AC46" t="s">
        <v>921</v>
      </c>
      <c r="AD46" t="s">
        <v>922</v>
      </c>
      <c r="AE46" t="s">
        <v>923</v>
      </c>
      <c r="AF46" t="s">
        <v>924</v>
      </c>
      <c r="AG46" t="s">
        <v>208</v>
      </c>
      <c r="AJ46" t="s">
        <v>925</v>
      </c>
      <c r="AK46" t="s">
        <v>926</v>
      </c>
      <c r="AL46" t="s">
        <v>926</v>
      </c>
    </row>
    <row r="47" ht="25.5" customHeight="1" spans="1:38">
      <c r="A47" t="s">
        <v>94</v>
      </c>
      <c r="B47" t="s">
        <v>927</v>
      </c>
      <c r="C47" s="2"/>
      <c r="F47" t="s">
        <v>928</v>
      </c>
      <c r="G47" t="s">
        <v>929</v>
      </c>
      <c r="H47" t="s">
        <v>930</v>
      </c>
      <c r="I47" t="s">
        <v>931</v>
      </c>
      <c r="J47" t="s">
        <v>932</v>
      </c>
      <c r="K47" t="s">
        <v>869</v>
      </c>
      <c r="L47" t="s">
        <v>849</v>
      </c>
      <c r="O47" t="s">
        <v>933</v>
      </c>
      <c r="P47" t="s">
        <v>934</v>
      </c>
      <c r="Q47">
        <v>60</v>
      </c>
      <c r="S47">
        <v>1</v>
      </c>
      <c r="T47">
        <v>60</v>
      </c>
      <c r="X47" t="s">
        <v>200</v>
      </c>
      <c r="Y47" t="s">
        <v>935</v>
      </c>
      <c r="Z47" t="s">
        <v>936</v>
      </c>
      <c r="AA47" t="s">
        <v>324</v>
      </c>
      <c r="AB47" t="s">
        <v>891</v>
      </c>
      <c r="AC47" t="s">
        <v>245</v>
      </c>
      <c r="AD47" t="s">
        <v>246</v>
      </c>
      <c r="AG47" t="s">
        <v>937</v>
      </c>
      <c r="AJ47" t="s">
        <v>328</v>
      </c>
      <c r="AK47" t="s">
        <v>926</v>
      </c>
      <c r="AL47" t="s">
        <v>926</v>
      </c>
    </row>
    <row r="48" ht="25.5" customHeight="1" spans="1:38">
      <c r="A48" t="s">
        <v>93</v>
      </c>
      <c r="B48" t="s">
        <v>938</v>
      </c>
      <c r="C48" s="2"/>
      <c r="F48" t="s">
        <v>939</v>
      </c>
      <c r="G48" t="s">
        <v>940</v>
      </c>
      <c r="H48" t="s">
        <v>941</v>
      </c>
      <c r="I48" t="s">
        <v>931</v>
      </c>
      <c r="J48" t="s">
        <v>942</v>
      </c>
      <c r="K48" t="s">
        <v>869</v>
      </c>
      <c r="L48" t="s">
        <v>849</v>
      </c>
      <c r="O48" t="s">
        <v>943</v>
      </c>
      <c r="P48" t="s">
        <v>944</v>
      </c>
      <c r="Q48">
        <v>60</v>
      </c>
      <c r="S48">
        <v>1</v>
      </c>
      <c r="T48">
        <v>60</v>
      </c>
      <c r="X48" t="s">
        <v>200</v>
      </c>
      <c r="Y48" t="s">
        <v>935</v>
      </c>
      <c r="Z48" t="s">
        <v>936</v>
      </c>
      <c r="AA48" t="s">
        <v>324</v>
      </c>
      <c r="AB48" t="s">
        <v>891</v>
      </c>
      <c r="AC48" t="s">
        <v>245</v>
      </c>
      <c r="AD48" t="s">
        <v>246</v>
      </c>
      <c r="AG48" t="s">
        <v>945</v>
      </c>
      <c r="AJ48" t="s">
        <v>328</v>
      </c>
      <c r="AK48" t="s">
        <v>926</v>
      </c>
      <c r="AL48" t="s">
        <v>926</v>
      </c>
    </row>
    <row r="49" ht="25.5" customHeight="1" spans="1:38">
      <c r="A49" t="s">
        <v>946</v>
      </c>
      <c r="B49" t="s">
        <v>946</v>
      </c>
      <c r="C49" s="2"/>
      <c r="F49" t="s">
        <v>947</v>
      </c>
      <c r="G49" t="s">
        <v>948</v>
      </c>
      <c r="H49" t="s">
        <v>949</v>
      </c>
      <c r="I49" t="s">
        <v>931</v>
      </c>
      <c r="J49" t="s">
        <v>942</v>
      </c>
      <c r="K49" t="s">
        <v>869</v>
      </c>
      <c r="L49" t="s">
        <v>849</v>
      </c>
      <c r="O49" t="s">
        <v>950</v>
      </c>
      <c r="P49" t="s">
        <v>951</v>
      </c>
      <c r="Q49">
        <v>39</v>
      </c>
      <c r="S49">
        <v>1</v>
      </c>
      <c r="T49">
        <v>39</v>
      </c>
      <c r="X49" t="s">
        <v>200</v>
      </c>
      <c r="Y49" t="s">
        <v>935</v>
      </c>
      <c r="Z49" t="s">
        <v>952</v>
      </c>
      <c r="AA49" t="s">
        <v>953</v>
      </c>
      <c r="AB49" t="s">
        <v>891</v>
      </c>
      <c r="AC49" t="s">
        <v>245</v>
      </c>
      <c r="AG49" t="s">
        <v>483</v>
      </c>
      <c r="AJ49" t="s">
        <v>328</v>
      </c>
      <c r="AK49" t="s">
        <v>954</v>
      </c>
      <c r="AL49" t="s">
        <v>954</v>
      </c>
    </row>
    <row r="50" ht="25.5" customHeight="1" spans="1:38">
      <c r="A50" t="s">
        <v>955</v>
      </c>
      <c r="B50" t="s">
        <v>102</v>
      </c>
      <c r="C50" s="2"/>
      <c r="E50" t="s">
        <v>955</v>
      </c>
      <c r="F50" t="s">
        <v>956</v>
      </c>
      <c r="G50" t="s">
        <v>957</v>
      </c>
      <c r="H50" t="s">
        <v>958</v>
      </c>
      <c r="I50" t="s">
        <v>959</v>
      </c>
      <c r="J50" t="s">
        <v>191</v>
      </c>
      <c r="K50" t="s">
        <v>192</v>
      </c>
      <c r="L50" t="s">
        <v>193</v>
      </c>
      <c r="O50" t="s">
        <v>960</v>
      </c>
      <c r="P50" t="s">
        <v>353</v>
      </c>
      <c r="Q50">
        <v>95</v>
      </c>
      <c r="S50">
        <v>4</v>
      </c>
      <c r="T50">
        <v>380</v>
      </c>
      <c r="X50" t="s">
        <v>200</v>
      </c>
      <c r="Y50" t="s">
        <v>961</v>
      </c>
      <c r="Z50" t="s">
        <v>962</v>
      </c>
      <c r="AA50" t="s">
        <v>963</v>
      </c>
      <c r="AB50" t="s">
        <v>891</v>
      </c>
      <c r="AC50" t="s">
        <v>267</v>
      </c>
      <c r="AF50" t="s">
        <v>964</v>
      </c>
      <c r="AG50" t="s">
        <v>361</v>
      </c>
      <c r="AJ50" t="s">
        <v>271</v>
      </c>
      <c r="AK50" t="s">
        <v>965</v>
      </c>
      <c r="AL50" t="s">
        <v>966</v>
      </c>
    </row>
    <row r="51" ht="25.5" customHeight="1" spans="1:38">
      <c r="A51" t="s">
        <v>95</v>
      </c>
      <c r="B51" t="s">
        <v>95</v>
      </c>
      <c r="C51" s="2"/>
      <c r="O51" t="s">
        <v>967</v>
      </c>
      <c r="X51" t="s">
        <v>968</v>
      </c>
      <c r="Y51" t="s">
        <v>969</v>
      </c>
      <c r="Z51" t="s">
        <v>920</v>
      </c>
      <c r="AC51" t="s">
        <v>921</v>
      </c>
    </row>
    <row r="52" ht="25.5" customHeight="1" spans="1:38">
      <c r="C52" s="2"/>
    </row>
    <row r="53" ht="25.5" customHeight="1" spans="1:38">
      <c r="C53" s="2"/>
    </row>
  </sheetData>
  <dataValidations count="1">
    <dataValidation type="list" sqref="K2:K52">
      <formula1>"香港仓库,国内保税仓,天津仓,无锡百世云仓"</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4"/>
  <sheetViews>
    <sheetView workbookViewId="0">
      <selection activeCell="C19" sqref="C19"/>
    </sheetView>
  </sheetViews>
  <sheetFormatPr defaultColWidth="9.64285714285714" defaultRowHeight="16.8" outlineLevelCol="6"/>
  <cols>
    <col min="1" max="7" width="19" customWidth="1"/>
  </cols>
  <sheetData>
    <row r="1" ht="13" customHeight="1" spans="1:7">
      <c r="A1" s="1" t="s">
        <v>0</v>
      </c>
      <c r="B1" s="1" t="s">
        <v>970</v>
      </c>
      <c r="C1" s="1" t="s">
        <v>971</v>
      </c>
      <c r="D1" s="1" t="s">
        <v>972</v>
      </c>
      <c r="E1" s="1" t="s">
        <v>973</v>
      </c>
      <c r="F1" s="1" t="s">
        <v>974</v>
      </c>
      <c r="G1" s="1" t="s">
        <v>115</v>
      </c>
    </row>
    <row r="2" ht="25.5" customHeight="1" spans="1:7">
      <c r="A2" t="s">
        <v>342</v>
      </c>
      <c r="B2" t="s">
        <v>975</v>
      </c>
      <c r="C2" t="s">
        <v>976</v>
      </c>
      <c r="D2" t="s">
        <v>977</v>
      </c>
      <c r="E2" s="2" t="str">
        <f>HYPERLINK("https://doi.org/10.29219/fnr.v65.7842","https://doi.org/10.29219/fnr.v65.7842")</f>
        <v>https://doi.org/10.29219/fnr.v65.7842</v>
      </c>
      <c r="F2">
        <v>3.4</v>
      </c>
    </row>
    <row r="3" ht="25.5" customHeight="1" spans="1:7">
      <c r="A3" t="s">
        <v>978</v>
      </c>
      <c r="B3" t="s">
        <v>979</v>
      </c>
      <c r="C3" t="s">
        <v>980</v>
      </c>
      <c r="D3" t="s">
        <v>981</v>
      </c>
      <c r="E3" s="2" t="str">
        <f>HYPERLINK("http://doi.org/10.1177/13872877241291253","http://doi.org/10.1177/13872877241291253")</f>
        <v>http://doi.org/10.1177/13872877241291253</v>
      </c>
      <c r="F3">
        <v>5.2</v>
      </c>
    </row>
    <row r="4" ht="25.5" customHeight="1" spans="1:7">
      <c r="A4" t="s">
        <v>982</v>
      </c>
      <c r="B4" t="s">
        <v>983</v>
      </c>
      <c r="C4" t="s">
        <v>984</v>
      </c>
      <c r="D4" t="s">
        <v>985</v>
      </c>
      <c r="E4" s="2" t="str">
        <f>HYPERLINK("https://doi.org/10.3389/fnut.2024.1409972","https://doi.org/10.3389/fnut.2024.1409972")</f>
        <v>https://doi.org/10.3389/fnut.2024.1409972</v>
      </c>
      <c r="F4">
        <v>6</v>
      </c>
    </row>
    <row r="5" ht="25.5" customHeight="1" spans="1:7">
      <c r="A5" t="s">
        <v>53</v>
      </c>
      <c r="B5" t="s">
        <v>986</v>
      </c>
      <c r="C5" t="s">
        <v>987</v>
      </c>
      <c r="D5" t="s">
        <v>988</v>
      </c>
      <c r="E5" s="2" t="str">
        <f>HYPERLINK("https://doi.org/10.4103/1673-5374.391310","https://doi.org/10.4103/1673-5374.391310")</f>
        <v>https://doi.org/10.4103/1673-5374.391310</v>
      </c>
      <c r="F5">
        <v>6.1</v>
      </c>
    </row>
    <row r="6" ht="25.5" customHeight="1" spans="1:7">
      <c r="A6" t="s">
        <v>35</v>
      </c>
      <c r="B6" t="s">
        <v>975</v>
      </c>
      <c r="C6" t="s">
        <v>989</v>
      </c>
      <c r="D6" t="s">
        <v>990</v>
      </c>
      <c r="E6" s="2" t="str">
        <f>HYPERLINK("https://pubmed.ncbi.nlm.nih.gov/34999335/","https://pubmed.ncbi.nlm.nih.gov/34999335/")</f>
        <v>https://pubmed.ncbi.nlm.nih.gov/34999335/</v>
      </c>
      <c r="F6">
        <v>6.3</v>
      </c>
    </row>
    <row r="7" ht="25.5" customHeight="1" spans="1:7">
      <c r="A7" t="s">
        <v>38</v>
      </c>
      <c r="B7" t="s">
        <v>991</v>
      </c>
      <c r="C7" t="s">
        <v>992</v>
      </c>
      <c r="D7" t="s">
        <v>993</v>
      </c>
      <c r="E7" s="2" t="str">
        <f>HYPERLINK("https://doi.org/10.1016/j.nutres.2024.09.012","https://doi.org/10.1016/j.nutres.2024.09.012")</f>
        <v>https://doi.org/10.1016/j.nutres.2024.09.012</v>
      </c>
      <c r="F7">
        <v>3.4</v>
      </c>
    </row>
    <row r="8" ht="25.5" customHeight="1" spans="1:7">
      <c r="A8" t="s">
        <v>55</v>
      </c>
      <c r="B8" t="s">
        <v>994</v>
      </c>
      <c r="C8" t="s">
        <v>995</v>
      </c>
      <c r="D8" t="s">
        <v>996</v>
      </c>
      <c r="E8" s="2" t="str">
        <f>HYPERLINK("https://doi.org/10.1002/ptr.6957","https://doi.org/10.1002/ptr.6957")</f>
        <v>https://doi.org/10.1002/ptr.6957</v>
      </c>
      <c r="F8">
        <v>6.1</v>
      </c>
    </row>
    <row r="9" ht="25.5" customHeight="1" spans="1:7">
      <c r="A9" t="s">
        <v>395</v>
      </c>
      <c r="B9" t="s">
        <v>997</v>
      </c>
      <c r="C9" t="s">
        <v>998</v>
      </c>
      <c r="D9" t="s">
        <v>999</v>
      </c>
      <c r="E9" s="2" t="str">
        <f>HYPERLINK("https://doi.org/10.1155/2018/1767265"," https://doi.org/10.1155/2018/1767265")</f>
        <v> https://doi.org/10.1155/2018/1767265</v>
      </c>
    </row>
    <row r="10" ht="25.5" customHeight="1" spans="1:7">
      <c r="A10" t="s">
        <v>39</v>
      </c>
      <c r="B10" t="s">
        <v>1000</v>
      </c>
      <c r="C10" t="s">
        <v>1001</v>
      </c>
      <c r="D10" t="s">
        <v>1002</v>
      </c>
      <c r="E10" s="2" t="str">
        <f>HYPERLINK("https://doi.org/10.1371/journal.pone.0255015","https://doi.org/10.1371/journal.pone.0255015")</f>
        <v>https://doi.org/10.1371/journal.pone.0255015</v>
      </c>
      <c r="F10">
        <v>6.6</v>
      </c>
    </row>
    <row r="11" ht="25.5" customHeight="1" spans="1:7">
      <c r="A11" t="s">
        <v>34</v>
      </c>
      <c r="B11" t="s">
        <v>1003</v>
      </c>
      <c r="C11" t="s">
        <v>1004</v>
      </c>
      <c r="D11" t="s">
        <v>1005</v>
      </c>
      <c r="E11" s="2" t="str">
        <f>HYPERLINK("https://pubmed.ncbi.nlm.nih.gov/35897657/","https://pubmed.ncbi.nlm.nih.gov/35897657/")</f>
        <v>https://pubmed.ncbi.nlm.nih.gov/35897657/</v>
      </c>
      <c r="F11">
        <v>4.9</v>
      </c>
    </row>
    <row r="12" ht="25.5" customHeight="1" spans="1:7">
      <c r="A12" t="s">
        <v>1006</v>
      </c>
      <c r="B12" t="s">
        <v>997</v>
      </c>
      <c r="C12" t="s">
        <v>1007</v>
      </c>
      <c r="D12" t="s">
        <v>1008</v>
      </c>
      <c r="E12" s="2" t="str">
        <f>HYPERLINK("https://doi.org/10.3389/fmed.2021.734847","https://doi.org/10.3389/fmed.2021.734847")</f>
        <v>https://doi.org/10.3389/fmed.2021.734847</v>
      </c>
      <c r="F12">
        <v>3.9</v>
      </c>
    </row>
    <row r="13" ht="25.5" customHeight="1" spans="1:7">
      <c r="A13" t="s">
        <v>1009</v>
      </c>
      <c r="B13" t="s">
        <v>983</v>
      </c>
      <c r="C13" t="s">
        <v>1010</v>
      </c>
      <c r="D13" t="s">
        <v>1011</v>
      </c>
      <c r="E13" s="2" t="str">
        <f>HYPERLINK("https://doi.org/10.1016/j.xcrm.2025.101939","https://doi.org/10.1016/j.xcrm.2025.101939")</f>
        <v>https://doi.org/10.1016/j.xcrm.2025.101939</v>
      </c>
      <c r="F13">
        <v>7.5</v>
      </c>
    </row>
    <row r="14" ht="25.5" customHeight="1" spans="1:7">
      <c r="A14" t="s">
        <v>48</v>
      </c>
      <c r="B14" t="s">
        <v>1012</v>
      </c>
      <c r="C14" t="s">
        <v>1013</v>
      </c>
      <c r="D14" t="s">
        <v>1014</v>
      </c>
      <c r="E14" s="2" t="str">
        <f>HYPERLINK("https://doi.org/10.3389/fcvm.2022.964977","https://doi.org/10.3389/fcvm.2022.964977")</f>
        <v>https://doi.org/10.3389/fcvm.2022.964977</v>
      </c>
      <c r="F14">
        <v>6.05</v>
      </c>
    </row>
    <row r="15" ht="25.5" customHeight="1" spans="1:7">
      <c r="A15" t="s">
        <v>423</v>
      </c>
      <c r="B15" t="s">
        <v>1000</v>
      </c>
      <c r="C15" t="s">
        <v>1015</v>
      </c>
      <c r="D15" t="s">
        <v>1016</v>
      </c>
      <c r="E15" s="2" t="str">
        <f>HYPERLINK("https://pmc.ncbi.nlm.nih.gov/articles/PMC8953103/#abstract1","https://pmc.ncbi.nlm.nih.gov/articles/PMC8953103/#abstract1")</f>
        <v>https://pmc.ncbi.nlm.nih.gov/articles/PMC8953103/#abstract1</v>
      </c>
      <c r="F15">
        <v>4.8</v>
      </c>
    </row>
    <row r="16" ht="25.5" customHeight="1" spans="1:7">
      <c r="A16" t="s">
        <v>24</v>
      </c>
      <c r="B16" t="s">
        <v>1017</v>
      </c>
      <c r="C16" t="s">
        <v>1018</v>
      </c>
      <c r="D16" t="s">
        <v>1019</v>
      </c>
      <c r="E16" s="2" t="str">
        <f>HYPERLINK("https://doi.org/10.1016/j.nutres.2021.09.005","https://doi.org/10.1016/j.nutres.2021.09.005")</f>
        <v>https://doi.org/10.1016/j.nutres.2021.09.005</v>
      </c>
      <c r="F16">
        <v>3.4</v>
      </c>
    </row>
    <row r="17" ht="25.5" customHeight="1" spans="1:6">
      <c r="A17" t="s">
        <v>52</v>
      </c>
      <c r="B17" t="s">
        <v>1020</v>
      </c>
      <c r="C17" t="s">
        <v>1021</v>
      </c>
      <c r="D17" t="s">
        <v>1022</v>
      </c>
      <c r="E17" s="2" t="str">
        <f>HYPERLINK("https://doi.org/10.1080/07315724.2021.1962770","https://doi.org/10.1080/07315724.2021.1962770")</f>
        <v>https://doi.org/10.1080/07315724.2021.1962770</v>
      </c>
      <c r="F17">
        <v>6.8</v>
      </c>
    </row>
    <row r="18" ht="25.5" customHeight="1" spans="1:6">
      <c r="A18" t="s">
        <v>45</v>
      </c>
      <c r="B18" t="s">
        <v>1023</v>
      </c>
      <c r="C18" t="s">
        <v>1024</v>
      </c>
      <c r="D18" t="s">
        <v>1025</v>
      </c>
      <c r="E18" s="2" t="str">
        <f>HYPERLINK("https://doi.org/10.1016/j.biopha.2023.115453","https://doi.org/10.1016/j.biopha.2023.115453")</f>
        <v>https://doi.org/10.1016/j.biopha.2023.115453</v>
      </c>
      <c r="F18">
        <v>6.9</v>
      </c>
    </row>
    <row r="19" ht="25.5" customHeight="1" spans="1:6">
      <c r="A19" t="s">
        <v>56</v>
      </c>
      <c r="B19" t="s">
        <v>1026</v>
      </c>
      <c r="C19" t="s">
        <v>1027</v>
      </c>
      <c r="D19" t="s">
        <v>1028</v>
      </c>
      <c r="E19" s="2" t="str">
        <f>HYPERLINK("https://pubmed.ncbi.nlm.nih.gov/36017529/","https://pubmed.ncbi.nlm.nih.gov/36017529/")</f>
        <v>https://pubmed.ncbi.nlm.nih.gov/36017529/</v>
      </c>
      <c r="F19">
        <v>6.3</v>
      </c>
    </row>
    <row r="20" ht="25.5" customHeight="1" spans="1:6">
      <c r="A20" t="s">
        <v>50</v>
      </c>
      <c r="B20" t="s">
        <v>1029</v>
      </c>
      <c r="C20" t="s">
        <v>1030</v>
      </c>
      <c r="D20" t="s">
        <v>1031</v>
      </c>
      <c r="E20" s="2" t="str">
        <f>HYPERLINK("https://doi.org/10.1002/ptr.6907","https://doi.org/10.1002/ptr.6907")</f>
        <v>https://doi.org/10.1002/ptr.6907</v>
      </c>
      <c r="F20">
        <v>6.1</v>
      </c>
    </row>
    <row r="21" ht="25.5" customHeight="1" spans="1:6">
      <c r="A21" t="s">
        <v>1032</v>
      </c>
      <c r="B21" t="s">
        <v>1017</v>
      </c>
      <c r="C21" t="s">
        <v>1033</v>
      </c>
      <c r="D21" t="s">
        <v>1034</v>
      </c>
      <c r="E21" s="2" t="str">
        <f>HYPERLINK("https://pubmed.ncbi.nlm.nih.gov/29722846/","https://pubmed.ncbi.nlm.nih.gov/29722846/")</f>
        <v>https://pubmed.ncbi.nlm.nih.gov/29722846/</v>
      </c>
      <c r="F21">
        <v>7.1</v>
      </c>
    </row>
    <row r="22" ht="25.5" customHeight="1" spans="1:6">
      <c r="A22" t="s">
        <v>1035</v>
      </c>
      <c r="B22" t="s">
        <v>1036</v>
      </c>
      <c r="C22" t="s">
        <v>1037</v>
      </c>
      <c r="D22" t="s">
        <v>1038</v>
      </c>
      <c r="E22" s="2" t="str">
        <f>HYPERLINK("https://jamanetwork.com/journals/jama/fullarticle/183204","https://jamanetwork.com/journals/jama/fullarticle/183204")</f>
        <v>https://jamanetwork.com/journals/jama/fullarticle/183204</v>
      </c>
      <c r="F22">
        <v>63.1</v>
      </c>
    </row>
    <row r="23" ht="25.5" customHeight="1" spans="1:6">
      <c r="A23" t="s">
        <v>1039</v>
      </c>
      <c r="B23" t="s">
        <v>1023</v>
      </c>
      <c r="C23" t="s">
        <v>1040</v>
      </c>
      <c r="D23" t="s">
        <v>1041</v>
      </c>
      <c r="E23" s="2" t="str">
        <f>HYPERLINK("https://doi.org/10.1001/archinte.167.2.148","https://doi.org/10.1001/archinte.167.2.148")</f>
        <v>https://doi.org/10.1001/archinte.167.2.148</v>
      </c>
      <c r="F23">
        <v>15</v>
      </c>
    </row>
    <row r="24" ht="25.5" customHeight="1" spans="1:6">
      <c r="A24" t="s">
        <v>78</v>
      </c>
      <c r="B24" t="s">
        <v>1042</v>
      </c>
      <c r="C24" t="s">
        <v>1043</v>
      </c>
      <c r="D24" t="s">
        <v>1044</v>
      </c>
      <c r="E24" s="2" t="str">
        <f>HYPERLINK("https://www.sciencedirect.com/science/article/pii/S0308814612009818#s0085","https://www.sciencedirect.com/science/article/pii/S0308814612009818#s0085")</f>
        <v>https://www.sciencedirect.com/science/article/pii/S0308814612009818#s0085</v>
      </c>
      <c r="F24">
        <v>9.8</v>
      </c>
    </row>
    <row r="25" ht="25.5" customHeight="1" spans="1:6">
      <c r="A25" t="s">
        <v>67</v>
      </c>
      <c r="B25" t="s">
        <v>1045</v>
      </c>
      <c r="C25" t="s">
        <v>1046</v>
      </c>
      <c r="D25" t="s">
        <v>1047</v>
      </c>
      <c r="E25" s="2" t="str">
        <f>HYPERLINK("https://ccforum.biomedcentral.com/articles/10.1186/s13054-015-0842-8","https://ccforum.biomedcentral.com/articles/10.1186/s13054-015-0842-8")</f>
        <v>https://ccforum.biomedcentral.com/articles/10.1186/s13054-015-0842-8</v>
      </c>
      <c r="F25">
        <v>9.3</v>
      </c>
    </row>
    <row r="26" ht="25.5" customHeight="1" spans="1:6">
      <c r="A26" t="s">
        <v>1048</v>
      </c>
      <c r="B26" t="s">
        <v>994</v>
      </c>
      <c r="C26" t="s">
        <v>1049</v>
      </c>
      <c r="D26" t="s">
        <v>1050</v>
      </c>
      <c r="E26" s="2" t="str">
        <f>HYPERLINK("https://link.springer.com/article/10.1186/s12970-019-0270-2","https://link.springer.com/article/10.1186/s12970-019-0270-2")</f>
        <v>https://link.springer.com/article/10.1186/s12970-019-0270-2</v>
      </c>
      <c r="F26">
        <v>3.9</v>
      </c>
    </row>
    <row r="27" ht="25.5" customHeight="1" spans="1:6">
      <c r="A27" t="s">
        <v>711</v>
      </c>
      <c r="B27" t="s">
        <v>1051</v>
      </c>
      <c r="C27" t="s">
        <v>1052</v>
      </c>
      <c r="D27" t="s">
        <v>1053</v>
      </c>
      <c r="E27" s="2" t="str">
        <f>HYPERLINK("https://www.mdpi.com/2072-6643/5/8/3062","https://www.mdpi.com/2072-6643/5/8/3062")</f>
        <v>https://www.mdpi.com/2072-6643/5/8/3062</v>
      </c>
      <c r="F27">
        <v>5</v>
      </c>
    </row>
    <row r="28" ht="25.5" customHeight="1" spans="1:6">
      <c r="A28" t="s">
        <v>740</v>
      </c>
      <c r="B28" t="s">
        <v>1054</v>
      </c>
      <c r="C28" t="s">
        <v>1055</v>
      </c>
      <c r="D28" t="s">
        <v>1056</v>
      </c>
      <c r="E28" s="2" t="str">
        <f>HYPERLINK("https://www.sciencedirect.com/science/article/pii/S0026049510002143?via%3Dihub#aep-abstract-id10","https://www.sciencedirect.com/science/article/pii/S0026049510002143?via%3Dihub#aep-abstract-id10")</f>
        <v>https://www.sciencedirect.com/science/article/pii/S0026049510002143?via%3Dihub#aep-abstract-id10</v>
      </c>
      <c r="F28">
        <v>11.8</v>
      </c>
    </row>
    <row r="29" ht="25.5" customHeight="1" spans="1:6">
      <c r="A29" t="s">
        <v>43</v>
      </c>
      <c r="B29" t="s">
        <v>994</v>
      </c>
      <c r="C29" t="s">
        <v>1057</v>
      </c>
      <c r="D29" t="s">
        <v>1058</v>
      </c>
      <c r="E29" s="2" t="str">
        <f>HYPERLINK("https://pubmed.ncbi.nlm.nih.gov/31926918/","https://pubmed.ncbi.nlm.nih.gov/31926918/")</f>
        <v>https://pubmed.ncbi.nlm.nih.gov/31926918/</v>
      </c>
      <c r="F29">
        <v>38.6</v>
      </c>
    </row>
    <row r="30" ht="25.5" customHeight="1" spans="1:6">
      <c r="A30" t="s">
        <v>84</v>
      </c>
      <c r="B30" t="s">
        <v>1059</v>
      </c>
      <c r="C30" t="s">
        <v>1060</v>
      </c>
      <c r="D30" t="s">
        <v>1061</v>
      </c>
      <c r="E30" s="2" t="str">
        <f>HYPERLINK("https://www.sciencedirect.com/science/article/pii/S1550413122000456?via%3Dihub#sec5","https://www.sciencedirect.com/science/article/pii/S1550413122000456?via%3Dihub#sec5")</f>
        <v>https://www.sciencedirect.com/science/article/pii/S1550413122000456?via%3Dihub#sec5</v>
      </c>
      <c r="F30">
        <v>27.7</v>
      </c>
    </row>
    <row r="31" ht="25.5" customHeight="1" spans="1:6">
      <c r="A31" t="s">
        <v>81</v>
      </c>
      <c r="B31" t="s">
        <v>1042</v>
      </c>
      <c r="C31" t="s">
        <v>1062</v>
      </c>
      <c r="D31" t="s">
        <v>1063</v>
      </c>
      <c r="E31" s="2" t="str">
        <f>HYPERLINK("https://doi.org/10.1016/j.clnu.2020.08.025","https://doi.org/10.1016/j.clnu.2020.08.025")</f>
        <v>https://doi.org/10.1016/j.clnu.2020.08.025</v>
      </c>
      <c r="F31">
        <v>8.8</v>
      </c>
    </row>
    <row r="32" ht="25.5" customHeight="1" spans="1:6">
      <c r="A32" t="s">
        <v>86</v>
      </c>
      <c r="B32" t="s">
        <v>1023</v>
      </c>
      <c r="C32" t="s">
        <v>1064</v>
      </c>
      <c r="D32" t="s">
        <v>1065</v>
      </c>
      <c r="E32" s="2" t="str">
        <f>HYPERLINK("https://pmc.ncbi.nlm.nih.gov/articles/PMC4539393/","https://pmc.ncbi.nlm.nih.gov/articles/PMC4539393/")</f>
        <v>https://pmc.ncbi.nlm.nih.gov/articles/PMC4539393/</v>
      </c>
      <c r="F32">
        <v>13.8</v>
      </c>
    </row>
    <row r="33" ht="25.5" customHeight="1" spans="1:6">
      <c r="A33" t="s">
        <v>1066</v>
      </c>
      <c r="B33" t="s">
        <v>1067</v>
      </c>
      <c r="C33" t="s">
        <v>1068</v>
      </c>
      <c r="D33" t="s">
        <v>1069</v>
      </c>
      <c r="E33" s="2" t="str">
        <f>HYPERLINK("https://pubmed.ncbi.nlm.nih.gov/35050355/","https://pubmed.ncbi.nlm.nih.gov/35050355/")</f>
        <v>https://pubmed.ncbi.nlm.nih.gov/35050355/</v>
      </c>
      <c r="F33">
        <v>3.5</v>
      </c>
    </row>
    <row r="34" ht="25.5" customHeight="1" spans="1:6">
      <c r="A34" t="s">
        <v>1070</v>
      </c>
      <c r="B34" t="s">
        <v>1071</v>
      </c>
      <c r="C34" t="s">
        <v>1072</v>
      </c>
      <c r="D34" t="s">
        <v>1073</v>
      </c>
      <c r="E34" s="2" t="str">
        <f>HYPERLINK("https://www.nature.com/articles/276517a0","https://www.nature.com/articles/276517a0")</f>
        <v>https://www.nature.com/articles/276517a0</v>
      </c>
      <c r="F34">
        <v>48.5</v>
      </c>
    </row>
    <row r="35" ht="25.5" customHeight="1" spans="1:6">
      <c r="A35" t="s">
        <v>97</v>
      </c>
      <c r="B35" t="s">
        <v>1074</v>
      </c>
      <c r="C35" t="s">
        <v>1075</v>
      </c>
      <c r="D35" t="s">
        <v>1076</v>
      </c>
      <c r="E35" s="2" t="str">
        <f>HYPERLINK("https://pubmed.ncbi.nlm.nih.gov/23919405/","https://pubmed.ncbi.nlm.nih.gov/23919405/")</f>
        <v>https://pubmed.ncbi.nlm.nih.gov/23919405/</v>
      </c>
      <c r="F35">
        <v>3.9</v>
      </c>
    </row>
    <row r="36" ht="25.5" customHeight="1" spans="1:6">
      <c r="A36" t="s">
        <v>94</v>
      </c>
      <c r="B36" t="s">
        <v>983</v>
      </c>
      <c r="C36" t="s">
        <v>1010</v>
      </c>
      <c r="D36" t="s">
        <v>1011</v>
      </c>
      <c r="E36" s="2" t="str">
        <f>HYPERLINK("https://doi.org/10.1016/j.xcrm.2025.101939","https://doi.org/10.1016/j.xcrm.2025.101939")</f>
        <v>https://doi.org/10.1016/j.xcrm.2025.101939</v>
      </c>
      <c r="F36">
        <v>7.5</v>
      </c>
    </row>
    <row r="37" ht="25.5" customHeight="1" spans="1:6">
      <c r="A37" t="s">
        <v>93</v>
      </c>
      <c r="B37" t="s">
        <v>983</v>
      </c>
      <c r="C37" t="s">
        <v>1010</v>
      </c>
      <c r="D37" t="s">
        <v>1011</v>
      </c>
      <c r="E37" s="2" t="str">
        <f>HYPERLINK("https://doi.org/10.1016/j.xcrm.2025.101939","https://doi.org/10.1016/j.xcrm.2025.101939")</f>
        <v>https://doi.org/10.1016/j.xcrm.2025.101939</v>
      </c>
      <c r="F37">
        <v>7.5</v>
      </c>
    </row>
    <row r="38" ht="25.5" customHeight="1" spans="1:6">
      <c r="A38" t="s">
        <v>946</v>
      </c>
      <c r="B38" t="s">
        <v>1054</v>
      </c>
      <c r="C38" t="s">
        <v>1055</v>
      </c>
      <c r="D38" t="s">
        <v>1056</v>
      </c>
      <c r="E38" s="2" t="str">
        <f>HYPERLINK("https://www.sciencedirect.com/science/article/pii/S0026049510002143?via%3Dihub#aep-abstract-id10","https://www.sciencedirect.com/science/article/pii/S0026049510002143?via%3Dihub#aep-abstract-id10")</f>
        <v>https://www.sciencedirect.com/science/article/pii/S0026049510002143?via%3Dihub#aep-abstract-id10</v>
      </c>
      <c r="F38">
        <v>11.8</v>
      </c>
    </row>
    <row r="39" ht="25.5" customHeight="1" spans="1:6">
      <c r="A39" t="s">
        <v>46</v>
      </c>
      <c r="B39" t="s">
        <v>1077</v>
      </c>
      <c r="C39" t="s">
        <v>1078</v>
      </c>
      <c r="D39" t="s">
        <v>1079</v>
      </c>
      <c r="E39" s="2" t="str">
        <f>HYPERLINK("https://doi.org/10.18632/aging.203736","https://doi.org/10.18632/aging.203736")</f>
        <v>https://doi.org/10.18632/aging.203736</v>
      </c>
      <c r="F39">
        <v>42.5</v>
      </c>
    </row>
    <row r="40" ht="25.5" customHeight="1" spans="1:6">
      <c r="A40" t="s">
        <v>1080</v>
      </c>
      <c r="B40" t="s">
        <v>997</v>
      </c>
      <c r="C40" t="s">
        <v>1081</v>
      </c>
      <c r="D40" t="s">
        <v>1082</v>
      </c>
      <c r="E40" s="2" t="str">
        <f>HYPERLINK("https://doi.org/10.1038/s41591-019-0495-2","https://doi.org/10.1038/s41591-019-0495-2")</f>
        <v>https://doi.org/10.1038/s41591-019-0495-2</v>
      </c>
      <c r="F40">
        <v>58.7</v>
      </c>
    </row>
    <row r="41" ht="25.5" customHeight="1" spans="1:6">
      <c r="A41" t="s">
        <v>1080</v>
      </c>
      <c r="B41" t="s">
        <v>994</v>
      </c>
      <c r="C41" t="s">
        <v>1083</v>
      </c>
      <c r="D41" t="s">
        <v>1084</v>
      </c>
      <c r="E41" s="2" t="str">
        <f>HYPERLINK("https://doi.org/10.1016/j.cmet.2024.12.010","https://doi.org/10.1016/j.cmet.2024.12.010")</f>
        <v>https://doi.org/10.1016/j.cmet.2024.12.010</v>
      </c>
      <c r="F41">
        <v>27.7</v>
      </c>
    </row>
    <row r="42" ht="25.5" customHeight="1" spans="1:6">
      <c r="A42" t="s">
        <v>11</v>
      </c>
      <c r="B42" t="s">
        <v>1077</v>
      </c>
      <c r="C42" t="s">
        <v>1085</v>
      </c>
      <c r="D42" t="s">
        <v>1086</v>
      </c>
      <c r="E42" s="2" t="str">
        <f>HYPERLINK("https://pubmed.ncbi.nlm.nih.gov/35182418/","https://pubmed.ncbi.nlm.nih.gov/35182418/")</f>
        <v>https://pubmed.ncbi.nlm.nih.gov/35182418/</v>
      </c>
      <c r="F42">
        <v>5.6</v>
      </c>
    </row>
    <row r="43" ht="25.5" customHeight="1" spans="1:6">
      <c r="A43" t="s">
        <v>1087</v>
      </c>
      <c r="B43" t="s">
        <v>986</v>
      </c>
      <c r="C43" t="s">
        <v>1088</v>
      </c>
      <c r="D43" t="s">
        <v>1089</v>
      </c>
      <c r="E43" s="2" t="str">
        <f>HYPERLINK("https://doi.org/10.1016/j.eclinm.2023.101920","https://doi.org/10.1016/j.eclinm.2023.101920")</f>
        <v>https://doi.org/10.1016/j.eclinm.2023.101920</v>
      </c>
      <c r="F43">
        <v>17</v>
      </c>
    </row>
    <row r="44" ht="25.5" customHeight="1" spans="1:6">
      <c r="A44" t="s">
        <v>1090</v>
      </c>
      <c r="B44" t="s">
        <v>994</v>
      </c>
      <c r="C44" t="s">
        <v>1091</v>
      </c>
      <c r="D44" t="s">
        <v>1092</v>
      </c>
      <c r="E44" s="2" t="str">
        <f>HYPERLINK("https://doi.org/10.3389/fnut.2024.1293909","https://doi.org/10.3389/fnut.2024.1293909")</f>
        <v>https://doi.org/10.3389/fnut.2024.1293909</v>
      </c>
      <c r="F44">
        <v>5.1</v>
      </c>
    </row>
    <row r="45" ht="25.5" customHeight="1" spans="1:6">
      <c r="A45" t="s">
        <v>1093</v>
      </c>
      <c r="B45" t="s">
        <v>975</v>
      </c>
      <c r="C45" t="s">
        <v>1094</v>
      </c>
      <c r="D45" t="s">
        <v>1095</v>
      </c>
      <c r="E45" s="2" t="str">
        <f>HYPERLINK("https://doi.org/10.1016/s0140-6736(07)60527-3","https://doi.org/10.1016/s0140-6736(07)60527-3")</f>
        <v>https://doi.org/10.1016/s0140-6736(07)60527-3</v>
      </c>
      <c r="F45">
        <v>88.5</v>
      </c>
    </row>
    <row r="46" ht="25.5" customHeight="1" spans="1:6">
      <c r="A46" t="s">
        <v>911</v>
      </c>
      <c r="B46" t="s">
        <v>1023</v>
      </c>
      <c r="C46" t="s">
        <v>1096</v>
      </c>
      <c r="D46" t="s">
        <v>1097</v>
      </c>
      <c r="E46" s="2" t="str">
        <f>HYPERLINK("https://doi.org/10.1016/s0140-6736(03)13490-3","https://doi.org/10.1016/s0140-6736(03)13490-3")</f>
        <v>https://doi.org/10.1016/s0140-6736(03)13490-3</v>
      </c>
      <c r="F46">
        <v>88.5</v>
      </c>
    </row>
    <row r="47" ht="25.5" customHeight="1" spans="1:6">
      <c r="A47" t="s">
        <v>11</v>
      </c>
      <c r="B47" t="s">
        <v>1098</v>
      </c>
      <c r="C47" t="s">
        <v>1099</v>
      </c>
      <c r="D47" t="s">
        <v>1100</v>
      </c>
      <c r="E47" s="2" t="str">
        <f>HYPERLINK("https://pubmed.ncbi.nlm.nih.gov/36482258/","https://pubmed.ncbi.nlm.nih.gov/36482258/")</f>
        <v>https://pubmed.ncbi.nlm.nih.gov/36482258/</v>
      </c>
      <c r="F47">
        <v>5.3</v>
      </c>
    </row>
    <row r="48" ht="25.5" customHeight="1" spans="1:6">
      <c r="A48" t="s">
        <v>11</v>
      </c>
      <c r="B48" t="s">
        <v>1045</v>
      </c>
      <c r="C48" t="s">
        <v>1101</v>
      </c>
      <c r="D48" t="s">
        <v>1102</v>
      </c>
      <c r="E48" s="2" t="str">
        <f>HYPERLINK("https://pubmed.ncbi.nlm.nih.gov/38789831/","https://pubmed.ncbi.nlm.nih.gov/38789831/")</f>
        <v>https://pubmed.ncbi.nlm.nih.gov/38789831/</v>
      </c>
      <c r="F48">
        <v>5.3</v>
      </c>
    </row>
    <row r="49" ht="25.5" customHeight="1" spans="1:6">
      <c r="A49" t="s">
        <v>90</v>
      </c>
      <c r="B49" t="s">
        <v>1071</v>
      </c>
      <c r="C49" t="s">
        <v>1103</v>
      </c>
      <c r="D49" t="s">
        <v>1104</v>
      </c>
      <c r="E49" s="2" t="str">
        <f>HYPERLINK("https://doi.org/10.1016/S2352-4642(25)00301-3","https://doi.org/10.1016/S2352-4642(25)00301-3")</f>
        <v>https://doi.org/10.1016/S2352-4642(25)00301-3</v>
      </c>
      <c r="F49">
        <v>15.5</v>
      </c>
    </row>
    <row r="50" ht="25.5" customHeight="1" spans="1:6">
      <c r="A50" t="s">
        <v>11</v>
      </c>
      <c r="B50" t="s">
        <v>1105</v>
      </c>
      <c r="C50" t="s">
        <v>1106</v>
      </c>
      <c r="D50" t="s">
        <v>1107</v>
      </c>
      <c r="E50" s="2" t="str">
        <f>HYPERLINK("https://pubmed.ncbi.nlm.nih.gov/34238308/","https://pubmed.ncbi.nlm.nih.gov/34238308/")</f>
        <v>https://pubmed.ncbi.nlm.nih.gov/34238308/</v>
      </c>
      <c r="F50">
        <v>4.5</v>
      </c>
    </row>
    <row r="51" ht="25.5" customHeight="1" spans="1:6">
      <c r="A51" t="s">
        <v>342</v>
      </c>
      <c r="B51" t="s">
        <v>1108</v>
      </c>
      <c r="C51" t="s">
        <v>1109</v>
      </c>
      <c r="D51" t="s">
        <v>1110</v>
      </c>
      <c r="E51" s="2" t="str">
        <f>HYPERLINK("https://pubmed.ncbi.nlm.nih.gov/39740942/","https://pubmed.ncbi.nlm.nih.gov/39740942/")</f>
        <v>https://pubmed.ncbi.nlm.nih.gov/39740942/</v>
      </c>
      <c r="F51">
        <v>2.9</v>
      </c>
    </row>
    <row r="52" ht="25.5" customHeight="1" spans="1:6">
      <c r="A52" t="s">
        <v>342</v>
      </c>
      <c r="B52" t="s">
        <v>1017</v>
      </c>
      <c r="C52" t="s">
        <v>1111</v>
      </c>
      <c r="D52" t="s">
        <v>1112</v>
      </c>
      <c r="E52" s="2" t="str">
        <f>HYPERLINK("https://doi.org/10.1039/C9FO03085A","https://doi.org/10.1039/C9FO03085A")</f>
        <v>https://doi.org/10.1039/C9FO03085A</v>
      </c>
      <c r="F52">
        <v>6.1</v>
      </c>
    </row>
    <row r="53" ht="25.5" customHeight="1" spans="1:6">
      <c r="A53" t="s">
        <v>342</v>
      </c>
      <c r="B53" t="s">
        <v>1067</v>
      </c>
      <c r="C53" t="s">
        <v>1113</v>
      </c>
      <c r="D53" t="s">
        <v>1114</v>
      </c>
      <c r="E53" s="2" t="str">
        <f>HYPERLINK("https://doi.org/10.3390/nu14142844","https://doi.org/10.3390/nu14142844")</f>
        <v>https://doi.org/10.3390/nu14142844</v>
      </c>
      <c r="F53">
        <v>6.7</v>
      </c>
    </row>
    <row r="54" ht="25.5" customHeight="1" spans="1:6">
      <c r="A54" t="s">
        <v>1080</v>
      </c>
      <c r="B54" t="s">
        <v>983</v>
      </c>
      <c r="C54" t="s">
        <v>1115</v>
      </c>
      <c r="D54" t="s">
        <v>1116</v>
      </c>
      <c r="E54" s="2" t="str">
        <f>HYPERLINK("https://doi.org/10.1016/j.cmet.2024.12.010","https://doi.org/10.1016/j.cmet.2024.12.010")</f>
        <v>https://doi.org/10.1016/j.cmet.2024.12.010</v>
      </c>
      <c r="F54">
        <v>27.7</v>
      </c>
    </row>
    <row r="55" ht="25.5" customHeight="1" spans="1:6">
      <c r="A55" t="s">
        <v>1080</v>
      </c>
      <c r="B55" t="s">
        <v>1017</v>
      </c>
      <c r="C55" t="s">
        <v>1117</v>
      </c>
      <c r="D55" t="s">
        <v>1118</v>
      </c>
      <c r="E55" s="2" t="str">
        <f>HYPERLINK("https://doi.org/10.1136/gutjnl-2014-308778","https://doi.org/10.1136/gutjnl-2014-308778")</f>
        <v>https://doi.org/10.1136/gutjnl-2014-308778</v>
      </c>
      <c r="F55">
        <v>23.1</v>
      </c>
    </row>
    <row r="56" ht="25.5" customHeight="1" spans="1:6">
      <c r="A56" t="s">
        <v>1080</v>
      </c>
      <c r="B56" t="s">
        <v>1119</v>
      </c>
      <c r="C56" t="s">
        <v>1120</v>
      </c>
      <c r="D56" t="s">
        <v>1121</v>
      </c>
      <c r="E56" s="2" t="str">
        <f>HYPERLINK("https://doi.org/10.1038/s41467-018-08051-7","https://doi.org/10.1038/s41467-018-08051-7")</f>
        <v>https://doi.org/10.1038/s41467-018-08051-7</v>
      </c>
      <c r="F56">
        <v>14.7</v>
      </c>
    </row>
    <row r="57" ht="25.5" customHeight="1" spans="1:6">
      <c r="A57" t="s">
        <v>1080</v>
      </c>
      <c r="B57" t="s">
        <v>1023</v>
      </c>
      <c r="C57" t="s">
        <v>1122</v>
      </c>
      <c r="D57" t="s">
        <v>1123</v>
      </c>
      <c r="E57" s="2" t="str">
        <f>HYPERLINK("https://doi.org/10.1080/19490976.2020.1737307","https://doi.org/10.1080/19490976.2020.1737307")</f>
        <v>https://doi.org/10.1080/19490976.2020.1737307</v>
      </c>
      <c r="F57">
        <v>12.2</v>
      </c>
    </row>
    <row r="58" ht="25.5" customHeight="1" spans="1:6">
      <c r="A58" t="s">
        <v>1080</v>
      </c>
      <c r="B58" t="s">
        <v>1124</v>
      </c>
      <c r="C58" t="s">
        <v>1125</v>
      </c>
      <c r="D58" t="s">
        <v>1126</v>
      </c>
      <c r="E58" s="2" t="str">
        <f>HYPERLINK("https://doi.org/10.1016/j.celrep.2024.114306","https://doi.org/10.1016/j.celrep.2024.114306")</f>
        <v>https://doi.org/10.1016/j.celrep.2024.114306</v>
      </c>
      <c r="F58">
        <v>8.2</v>
      </c>
    </row>
    <row r="59" ht="25.5" customHeight="1" spans="1:6">
      <c r="A59" t="s">
        <v>978</v>
      </c>
      <c r="B59" t="s">
        <v>1042</v>
      </c>
      <c r="C59" t="s">
        <v>1127</v>
      </c>
      <c r="D59" t="s">
        <v>1128</v>
      </c>
      <c r="E59" s="2" t="str">
        <f>HYPERLINK("https://doi.org/10.1016/j.lfs.2021.119572","https://doi.org/10.1016/j.lfs.2021.119572")</f>
        <v>https://doi.org/10.1016/j.lfs.2021.119572</v>
      </c>
      <c r="F59">
        <v>5.1</v>
      </c>
    </row>
    <row r="60" ht="25.5" customHeight="1" spans="1:6">
      <c r="A60" t="s">
        <v>978</v>
      </c>
      <c r="B60" t="s">
        <v>1129</v>
      </c>
      <c r="C60" t="s">
        <v>1130</v>
      </c>
      <c r="D60" t="s">
        <v>1131</v>
      </c>
      <c r="E60" s="2" t="str">
        <f>HYPERLINK("https://doi.org/10.1016/j.fbio.2023.103530","https://doi.org/10.1016/j.fbio.2023.103530")</f>
        <v>https://doi.org/10.1016/j.fbio.2023.103530</v>
      </c>
      <c r="F60">
        <v>2</v>
      </c>
    </row>
    <row r="61" ht="25.5" customHeight="1" spans="1:6">
      <c r="A61" t="s">
        <v>978</v>
      </c>
      <c r="B61" t="s">
        <v>1129</v>
      </c>
      <c r="C61" t="s">
        <v>1132</v>
      </c>
      <c r="D61" t="s">
        <v>1133</v>
      </c>
      <c r="E61" s="2" t="str">
        <f>HYPERLINK("https://doi.org/10.1111/jocd.14137","https://doi.org/10.1111/jocd.14137")</f>
        <v>https://doi.org/10.1111/jocd.14137</v>
      </c>
      <c r="F61">
        <v>6.2</v>
      </c>
    </row>
    <row r="62" ht="25.5" customHeight="1" spans="1:6">
      <c r="A62" t="s">
        <v>982</v>
      </c>
      <c r="B62" t="s">
        <v>975</v>
      </c>
      <c r="C62" t="s">
        <v>1134</v>
      </c>
      <c r="D62" t="s">
        <v>1135</v>
      </c>
      <c r="E62" s="2" t="str">
        <f>HYPERLINK("https://doi.org/10.1007/s00394-023-03087-y","https://doi.org/10.1007/s00394-023-03087-y")</f>
        <v>https://doi.org/10.1007/s00394-023-03087-y</v>
      </c>
      <c r="F62">
        <v>4.7</v>
      </c>
    </row>
    <row r="63" ht="25.5" customHeight="1" spans="1:6">
      <c r="A63" t="s">
        <v>982</v>
      </c>
      <c r="B63" t="s">
        <v>1136</v>
      </c>
      <c r="C63" t="s">
        <v>1137</v>
      </c>
      <c r="D63" t="s">
        <v>1138</v>
      </c>
      <c r="E63" s="2" t="str">
        <f>HYPERLINK("https://doi.org/10.3390/biology11081140","https://doi.org/10.3390/biology11081140")</f>
        <v>https://doi.org/10.3390/biology11081140</v>
      </c>
      <c r="F63">
        <v>3.7</v>
      </c>
    </row>
    <row r="64" ht="25.5" customHeight="1" spans="1:6">
      <c r="A64" t="s">
        <v>982</v>
      </c>
      <c r="B64" t="s">
        <v>1139</v>
      </c>
      <c r="C64" t="s">
        <v>1140</v>
      </c>
      <c r="D64" t="s">
        <v>1141</v>
      </c>
      <c r="E64" s="2" t="str">
        <f>HYPERLINK("https://doi.org/10.1038/s41598-023-33521-4","https://doi.org/10.1038/s41598-023-33521-4")</f>
        <v>https://doi.org/10.1038/s41598-023-33521-4</v>
      </c>
      <c r="F64">
        <v>3.2</v>
      </c>
    </row>
    <row r="65" ht="25.5" customHeight="1" spans="1:6">
      <c r="A65" t="s">
        <v>982</v>
      </c>
      <c r="B65" t="s">
        <v>997</v>
      </c>
      <c r="C65" t="s">
        <v>1142</v>
      </c>
      <c r="D65" t="s">
        <v>1143</v>
      </c>
      <c r="E65" s="2" t="str">
        <f>HYPERLINK("https://doi.org/10.3390/nu14030498","https://doi.org/10.3390/nu14030498")</f>
        <v>https://doi.org/10.3390/nu14030498</v>
      </c>
      <c r="F65">
        <v>6.7</v>
      </c>
    </row>
    <row r="66" ht="25.5" customHeight="1" spans="1:6">
      <c r="A66" t="s">
        <v>982</v>
      </c>
      <c r="B66" t="s">
        <v>1017</v>
      </c>
      <c r="C66" t="s">
        <v>1144</v>
      </c>
      <c r="D66" t="s">
        <v>1145</v>
      </c>
      <c r="E66" s="2" t="str">
        <f>HYPERLINK("https://doi.org/10.1080/15502783.2023.2231411","https://doi.org/10.1080/15502783.2023.2231411")</f>
        <v>https://doi.org/10.1080/15502783.2023.2231411</v>
      </c>
      <c r="F66">
        <v>3.5</v>
      </c>
    </row>
    <row r="67" ht="25.5" customHeight="1" spans="1:6">
      <c r="A67" t="s">
        <v>1087</v>
      </c>
      <c r="B67" t="s">
        <v>1042</v>
      </c>
      <c r="C67" t="s">
        <v>1146</v>
      </c>
      <c r="D67" t="s">
        <v>1147</v>
      </c>
      <c r="E67" s="2" t="str">
        <f>HYPERLINK("https://doi.org/10.2215/cjn.0000000624","https://doi.org/10.2215/cjn.0000000624")</f>
        <v>https://doi.org/10.2215/cjn.0000000624</v>
      </c>
      <c r="F67">
        <v>9.3</v>
      </c>
    </row>
    <row r="68" ht="25.5" customHeight="1" spans="1:6">
      <c r="A68" t="s">
        <v>1087</v>
      </c>
      <c r="B68" t="s">
        <v>1017</v>
      </c>
      <c r="C68" t="s">
        <v>1148</v>
      </c>
      <c r="D68" t="s">
        <v>1149</v>
      </c>
      <c r="E68" s="2" t="str">
        <f>HYPERLINK("https://doi.org/10.1016/j.resuscitation.2021.01.041","https://doi.org/10.1016/j.resuscitation.2021.01.041")</f>
        <v>https://doi.org/10.1016/j.resuscitation.2021.01.041</v>
      </c>
      <c r="F68">
        <v>5.9</v>
      </c>
    </row>
    <row r="69" ht="25.5" customHeight="1" spans="1:6">
      <c r="A69" t="s">
        <v>1087</v>
      </c>
      <c r="B69" t="s">
        <v>1108</v>
      </c>
      <c r="C69" t="s">
        <v>1150</v>
      </c>
      <c r="D69" t="s">
        <v>1151</v>
      </c>
      <c r="E69" s="2" t="str">
        <f>HYPERLINK("https://doi.org/10.18632/aging.103742","https://doi.org/10.18632/aging.103742")</f>
        <v>https://doi.org/10.18632/aging.103742</v>
      </c>
      <c r="F69">
        <v>5.5</v>
      </c>
    </row>
    <row r="70" ht="25.5" customHeight="1" spans="1:6">
      <c r="A70" t="s">
        <v>1087</v>
      </c>
      <c r="B70" t="s">
        <v>1136</v>
      </c>
      <c r="C70" t="s">
        <v>1152</v>
      </c>
      <c r="D70" t="s">
        <v>1153</v>
      </c>
      <c r="E70" s="2" t="str">
        <f>HYPERLINK("https://doi.org/10.1016/j.isci.2025.112112","https://doi.org/10.1016/j.isci.2025.112112")</f>
        <v>https://doi.org/10.1016/j.isci.2025.112112</v>
      </c>
      <c r="F70">
        <v>5</v>
      </c>
    </row>
    <row r="71" ht="25.5" customHeight="1" spans="1:6">
      <c r="A71" t="s">
        <v>1087</v>
      </c>
      <c r="B71" t="s">
        <v>997</v>
      </c>
      <c r="C71" t="s">
        <v>1154</v>
      </c>
      <c r="D71" t="s">
        <v>1155</v>
      </c>
      <c r="E71" s="2" t="str">
        <f>HYPERLINK("https://doi.org/10.3390/nu12061640","https://doi.org/10.3390/nu12061640")</f>
        <v>https://doi.org/10.3390/nu12061640</v>
      </c>
      <c r="F71">
        <v>4.5</v>
      </c>
    </row>
    <row r="72" ht="25.5" customHeight="1" spans="1:6">
      <c r="A72" t="s">
        <v>1087</v>
      </c>
      <c r="B72" t="s">
        <v>975</v>
      </c>
      <c r="C72" t="s">
        <v>1156</v>
      </c>
      <c r="D72" t="s">
        <v>1157</v>
      </c>
      <c r="E72" s="2" t="str">
        <f>HYPERLINK("https://doi.org/10.3390/antiox9090823","https://doi.org/10.3390/antiox9090823")</f>
        <v>https://doi.org/10.3390/antiox9090823</v>
      </c>
      <c r="F72">
        <v>4.5</v>
      </c>
    </row>
    <row r="73" ht="25.5" customHeight="1" spans="1:6">
      <c r="A73" t="s">
        <v>1087</v>
      </c>
      <c r="B73" t="s">
        <v>1158</v>
      </c>
      <c r="C73" t="s">
        <v>1159</v>
      </c>
      <c r="D73" t="s">
        <v>1160</v>
      </c>
      <c r="E73" s="2" t="str">
        <f>HYPERLINK("https://doi.org/10.3390/nu12020424","https://doi.org/10.3390/nu12020424")</f>
        <v>https://doi.org/10.3390/nu12020424</v>
      </c>
      <c r="F73">
        <v>4.5</v>
      </c>
    </row>
    <row r="74" ht="25.5" customHeight="1" spans="1:6">
      <c r="A74" t="s">
        <v>1087</v>
      </c>
      <c r="B74" t="s">
        <v>1045</v>
      </c>
      <c r="C74" t="s">
        <v>1161</v>
      </c>
      <c r="D74" t="s">
        <v>1162</v>
      </c>
      <c r="E74" s="2" t="str">
        <f>HYPERLINK("https://doi.org/10.3390/nu12041098","https://doi.org/10.3390/nu12041098")</f>
        <v>https://doi.org/10.3390/nu12041098</v>
      </c>
      <c r="F74">
        <v>4.5</v>
      </c>
    </row>
    <row r="75" ht="25.5" customHeight="1" spans="1:6">
      <c r="A75" t="s">
        <v>53</v>
      </c>
      <c r="B75" t="s">
        <v>991</v>
      </c>
      <c r="C75" t="s">
        <v>1163</v>
      </c>
      <c r="D75" t="s">
        <v>1164</v>
      </c>
      <c r="E75" s="2" t="str">
        <f>HYPERLINK("https://doi.org/10.3390/nu14245235","https://doi.org/10.3390/nu14245235")</f>
        <v>https://doi.org/10.3390/nu14245235</v>
      </c>
      <c r="F75">
        <v>5.8</v>
      </c>
    </row>
    <row r="76" ht="25.5" customHeight="1" spans="1:6">
      <c r="A76" t="s">
        <v>53</v>
      </c>
      <c r="B76" t="s">
        <v>1165</v>
      </c>
      <c r="C76" t="s">
        <v>1166</v>
      </c>
      <c r="D76" t="s">
        <v>1167</v>
      </c>
      <c r="E76" s="2" t="str">
        <f>HYPERLINK("https://doi.org/10.2147/NDT.S230688","https://doi.org/10.2147/NDT.S230688")</f>
        <v>https://doi.org/10.2147/NDT.S230688</v>
      </c>
      <c r="F76">
        <v>3.7</v>
      </c>
    </row>
    <row r="77" ht="25.5" customHeight="1" spans="1:6">
      <c r="A77" t="s">
        <v>53</v>
      </c>
      <c r="B77" t="s">
        <v>1045</v>
      </c>
      <c r="C77" t="s">
        <v>1168</v>
      </c>
      <c r="D77" t="s">
        <v>1169</v>
      </c>
      <c r="E77" s="2" t="str">
        <f>HYPERLINK("https://doi.org/10.1016/j.sleepx.2024.100121","https://doi.org/10.1016/j.sleepx.2024.100121")</f>
        <v>https://doi.org/10.1016/j.sleepx.2024.100121</v>
      </c>
      <c r="F77">
        <v>2.4</v>
      </c>
    </row>
    <row r="78" ht="25.5" customHeight="1" spans="1:6">
      <c r="A78" t="s">
        <v>35</v>
      </c>
      <c r="B78" t="s">
        <v>1170</v>
      </c>
      <c r="C78" t="s">
        <v>1171</v>
      </c>
      <c r="D78" t="s">
        <v>1172</v>
      </c>
      <c r="E78" s="2" t="str">
        <f>HYPERLINK("https://pmc.ncbi.nlm.nih.gov/articles/PMC7600844/","https://pmc.ncbi.nlm.nih.gov/articles/PMC7600844/")</f>
        <v>https://pmc.ncbi.nlm.nih.gov/articles/PMC7600844/</v>
      </c>
      <c r="F78">
        <v>5.71</v>
      </c>
    </row>
    <row r="79" ht="25.5" customHeight="1" spans="1:6">
      <c r="A79" t="s">
        <v>35</v>
      </c>
      <c r="B79" t="s">
        <v>1054</v>
      </c>
      <c r="C79" t="s">
        <v>1173</v>
      </c>
      <c r="D79" t="s">
        <v>1174</v>
      </c>
      <c r="E79" s="2" t="str">
        <f>HYPERLINK("https://doi.org/10.3390/nu10091321","https://doi.org/10.3390/nu10091321")</f>
        <v>https://doi.org/10.3390/nu10091321</v>
      </c>
      <c r="F79">
        <v>5</v>
      </c>
    </row>
    <row r="80" ht="25.5" customHeight="1" spans="1:6">
      <c r="A80" t="s">
        <v>38</v>
      </c>
      <c r="B80" t="s">
        <v>1175</v>
      </c>
      <c r="C80" t="s">
        <v>1176</v>
      </c>
      <c r="D80" t="s">
        <v>1177</v>
      </c>
      <c r="E80" s="2" t="str">
        <f>HYPERLINK("https://doi.org/10.1007/s00508-020-01758-y","https://doi.org/10.1007/s00508-020-01758-y")</f>
        <v>https://doi.org/10.1007/s00508-020-01758-y</v>
      </c>
      <c r="F80">
        <v>1.9</v>
      </c>
    </row>
    <row r="81" ht="25.5" customHeight="1" spans="1:6">
      <c r="A81" t="s">
        <v>38</v>
      </c>
      <c r="B81" t="s">
        <v>975</v>
      </c>
      <c r="C81" t="s">
        <v>1178</v>
      </c>
      <c r="D81" t="s">
        <v>1179</v>
      </c>
      <c r="E81" s="2" t="str">
        <f>HYPERLINK("https://doi.org/10.3390/antiox11091836","https://doi.org/10.3390/antiox11091836")</f>
        <v>https://doi.org/10.3390/antiox11091836</v>
      </c>
      <c r="F81">
        <v>6</v>
      </c>
    </row>
    <row r="82" ht="25.5" customHeight="1" spans="1:6">
      <c r="A82" t="s">
        <v>38</v>
      </c>
      <c r="B82" t="s">
        <v>1119</v>
      </c>
      <c r="C82" t="s">
        <v>1180</v>
      </c>
      <c r="D82" t="s">
        <v>1181</v>
      </c>
      <c r="E82" s="2" t="str">
        <f>HYPERLINK("https://doi.org/10.1016/j.cortex.2018.09.014","https://doi.org/10.1016/j.cortex.2018.09.014")</f>
        <v>https://doi.org/10.1016/j.cortex.2018.09.014</v>
      </c>
      <c r="F82">
        <v>3.3</v>
      </c>
    </row>
    <row r="83" ht="25.5" customHeight="1" spans="1:6">
      <c r="A83" t="s">
        <v>38</v>
      </c>
      <c r="B83" t="s">
        <v>1023</v>
      </c>
      <c r="C83" t="s">
        <v>1182</v>
      </c>
      <c r="D83" t="s">
        <v>1183</v>
      </c>
      <c r="E83" s="2" t="str">
        <f>HYPERLINK("https://pubmed.ncbi.nlm.nih.gov/33151120/","https://pubmed.ncbi.nlm.nih.gov/33151120/")</f>
        <v>https://pubmed.ncbi.nlm.nih.gov/33151120/</v>
      </c>
      <c r="F83">
        <v>11</v>
      </c>
    </row>
    <row r="84" ht="25.5" customHeight="1" spans="1:6">
      <c r="A84" t="s">
        <v>38</v>
      </c>
      <c r="B84" t="s">
        <v>1184</v>
      </c>
      <c r="C84" t="s">
        <v>1185</v>
      </c>
      <c r="D84" t="s">
        <v>1186</v>
      </c>
      <c r="E84" s="2" t="str">
        <f>HYPERLINK("https://pubmed.ncbi.nlm.nih.gov/36008447/","https://pubmed.ncbi.nlm.nih.gov/36008447/")</f>
        <v>https://pubmed.ncbi.nlm.nih.gov/36008447/</v>
      </c>
      <c r="F84">
        <v>3.9</v>
      </c>
    </row>
    <row r="85" ht="25.5" customHeight="1" spans="1:6">
      <c r="A85" t="s">
        <v>55</v>
      </c>
      <c r="B85" t="s">
        <v>1017</v>
      </c>
      <c r="C85" t="s">
        <v>1187</v>
      </c>
      <c r="D85" t="s">
        <v>1188</v>
      </c>
      <c r="E85" s="2" t="str">
        <f>HYPERLINK("https://doi.org/10.1002/ptr.7109","https://doi.org/10.1002/ptr.7109")</f>
        <v>https://doi.org/10.1002/ptr.7109</v>
      </c>
      <c r="F85">
        <v>6.1</v>
      </c>
    </row>
    <row r="86" ht="25.5" customHeight="1" spans="1:6">
      <c r="A86" t="s">
        <v>55</v>
      </c>
      <c r="B86" t="s">
        <v>1189</v>
      </c>
      <c r="C86" t="s">
        <v>1190</v>
      </c>
      <c r="D86" t="s">
        <v>1191</v>
      </c>
      <c r="E86" s="2" t="str">
        <f>HYPERLINK("https://doi.org/10.1002/ptr.5659","https://doi.org/10.1002/ptr.5659")</f>
        <v>https://doi.org/10.1002/ptr.5659</v>
      </c>
      <c r="F86">
        <v>6.1</v>
      </c>
    </row>
    <row r="87" ht="25.5" customHeight="1" spans="1:6">
      <c r="A87" t="s">
        <v>55</v>
      </c>
      <c r="B87" t="s">
        <v>1042</v>
      </c>
      <c r="C87" t="s">
        <v>1192</v>
      </c>
      <c r="D87" t="s">
        <v>1193</v>
      </c>
      <c r="E87" s="2" t="str">
        <f>HYPERLINK("https://doi.org/10.1007/s12011-023-03849-z","https://doi.org/10.1007/s12011-023-03849-z")</f>
        <v>https://doi.org/10.1007/s12011-023-03849-z</v>
      </c>
      <c r="F87">
        <v>4.8</v>
      </c>
    </row>
    <row r="88" ht="25.5" customHeight="1" spans="1:6">
      <c r="A88" t="s">
        <v>55</v>
      </c>
      <c r="B88" t="s">
        <v>1023</v>
      </c>
      <c r="C88" t="s">
        <v>1194</v>
      </c>
      <c r="D88" t="s">
        <v>1195</v>
      </c>
      <c r="E88" s="2" t="str">
        <f>HYPERLINK("https://doi.org/10.3390/molecules26185591","https://doi.org/10.3390/molecules26185591")</f>
        <v>https://doi.org/10.3390/molecules26185591</v>
      </c>
      <c r="F88">
        <v>4.6</v>
      </c>
    </row>
    <row r="89" ht="25.5" customHeight="1" spans="1:6">
      <c r="A89" t="s">
        <v>395</v>
      </c>
      <c r="B89" t="s">
        <v>986</v>
      </c>
      <c r="C89" t="s">
        <v>1196</v>
      </c>
      <c r="D89" t="s">
        <v>1197</v>
      </c>
      <c r="E89" s="2" t="str">
        <f>HYPERLINK("https://www.annalsofoncology.org/article/S0923-7534(19)53274-4/fulltext","https://www.annalsofoncology.org/article/S0923-7534(19)53274-4/fulltext")</f>
        <v>https://www.annalsofoncology.org/article/S0923-7534(19)53274-4/fulltext</v>
      </c>
      <c r="F89">
        <v>65.4</v>
      </c>
    </row>
    <row r="90" ht="25.5" customHeight="1" spans="1:6">
      <c r="A90" t="s">
        <v>395</v>
      </c>
      <c r="B90" t="s">
        <v>991</v>
      </c>
      <c r="C90" t="s">
        <v>1198</v>
      </c>
      <c r="D90" t="s">
        <v>1199</v>
      </c>
      <c r="E90" s="2" t="str">
        <f>HYPERLINK("https://doi.org/10.1016/j.jff.2012.08.005","https://doi.org/10.1016/j.jff.2012.08.005")</f>
        <v>https://doi.org/10.1016/j.jff.2012.08.005</v>
      </c>
      <c r="F90">
        <v>4.9</v>
      </c>
    </row>
    <row r="91" ht="25.5" customHeight="1" spans="1:6">
      <c r="A91" t="s">
        <v>395</v>
      </c>
      <c r="B91" t="s">
        <v>1119</v>
      </c>
      <c r="C91" t="s">
        <v>1200</v>
      </c>
      <c r="D91" t="s">
        <v>1201</v>
      </c>
      <c r="E91" s="2" t="str">
        <f>HYPERLINK("https://doi.org/10.1093/jn/nxaa203","https://doi.org/10.1093/jn/nxaa203")</f>
        <v>https://doi.org/10.1093/jn/nxaa203</v>
      </c>
      <c r="F91">
        <v>4.2</v>
      </c>
    </row>
    <row r="92" ht="25.5" customHeight="1" spans="1:6">
      <c r="A92" t="s">
        <v>395</v>
      </c>
      <c r="B92" t="s">
        <v>1129</v>
      </c>
      <c r="C92" t="s">
        <v>1202</v>
      </c>
      <c r="D92" t="s">
        <v>1203</v>
      </c>
      <c r="E92" s="2" t="str">
        <f>HYPERLINK("https://pubmed.ncbi.nlm.nih.gov/19664690/","https://pubmed.ncbi.nlm.nih.gov/19664690/")</f>
        <v>https://pubmed.ncbi.nlm.nih.gov/19664690/</v>
      </c>
      <c r="F92">
        <v>2.2</v>
      </c>
    </row>
    <row r="93" ht="25.5" customHeight="1" spans="1:6">
      <c r="A93" t="s">
        <v>39</v>
      </c>
      <c r="B93" t="s">
        <v>1204</v>
      </c>
      <c r="C93" t="s">
        <v>1205</v>
      </c>
      <c r="D93" t="s">
        <v>1206</v>
      </c>
      <c r="E93" s="2" t="str">
        <f>HYPERLINK("https://doi.org/10.7314/APJCP.2014.15.21.9085","https://doi.org/10.7314/APJCP.2014.15.21.9085")</f>
        <v>https://doi.org/10.7314/APJCP.2014.15.21.9085</v>
      </c>
      <c r="F93">
        <v>0</v>
      </c>
    </row>
    <row r="94" ht="25.5" customHeight="1" spans="1:6">
      <c r="A94" t="s">
        <v>34</v>
      </c>
      <c r="B94" t="s">
        <v>1207</v>
      </c>
      <c r="C94" t="s">
        <v>1208</v>
      </c>
      <c r="D94" t="s">
        <v>1209</v>
      </c>
      <c r="E94" s="2" t="str">
        <f>HYPERLINK("https://pubmed.ncbi.nlm.nih.gov/32928216/","https://pubmed.ncbi.nlm.nih.gov/32928216/")</f>
        <v>https://pubmed.ncbi.nlm.nih.gov/32928216/</v>
      </c>
      <c r="F94">
        <v>3.271</v>
      </c>
    </row>
    <row r="95" ht="25.5" customHeight="1" spans="1:6">
      <c r="A95" t="s">
        <v>34</v>
      </c>
      <c r="B95" t="s">
        <v>975</v>
      </c>
      <c r="C95" t="s">
        <v>1210</v>
      </c>
      <c r="D95" t="s">
        <v>1211</v>
      </c>
      <c r="E95" s="2" t="str">
        <f>HYPERLINK("https://pubmed.ncbi.nlm.nih.gov/37165643/","https://pubmed.ncbi.nlm.nih.gov/37165643/")</f>
        <v>https://pubmed.ncbi.nlm.nih.gov/37165643/</v>
      </c>
      <c r="F95">
        <v>1.4</v>
      </c>
    </row>
    <row r="96" ht="25.5" customHeight="1" spans="1:6">
      <c r="A96" t="s">
        <v>1006</v>
      </c>
      <c r="B96" t="s">
        <v>1017</v>
      </c>
      <c r="C96" t="s">
        <v>1212</v>
      </c>
      <c r="D96" t="s">
        <v>1213</v>
      </c>
      <c r="E96" s="2" t="str">
        <f>HYPERLINK("https://doi.org/10.1016/j.clnesp.2024.06.003","https://doi.org/10.1016/j.clnesp.2024.06.003")</f>
        <v>https://doi.org/10.1016/j.clnesp.2024.06.003</v>
      </c>
      <c r="F96">
        <v>2.7</v>
      </c>
    </row>
    <row r="97" ht="25.5" customHeight="1" spans="1:6">
      <c r="A97" t="s">
        <v>1006</v>
      </c>
      <c r="B97" t="s">
        <v>983</v>
      </c>
      <c r="C97" t="s">
        <v>1214</v>
      </c>
      <c r="D97" t="s">
        <v>1215</v>
      </c>
      <c r="E97" s="2" t="str">
        <f>HYPERLINK("https://doi.org/10.1002/fsn3.4348","https://doi.org/10.1002/fsn3.4348")</f>
        <v>https://doi.org/10.1002/fsn3.4348</v>
      </c>
      <c r="F97">
        <v>2.2</v>
      </c>
    </row>
    <row r="98" ht="25.5" customHeight="1" spans="1:6">
      <c r="A98" t="s">
        <v>1009</v>
      </c>
      <c r="B98" t="s">
        <v>1017</v>
      </c>
      <c r="C98" t="s">
        <v>1216</v>
      </c>
      <c r="D98" t="s">
        <v>1217</v>
      </c>
      <c r="E98" s="2" t="str">
        <f>HYPERLINK("https://doi.org/10.1016/j.ajcnut.2023.07.023","https://doi.org/10.1016/j.ajcnut.2023.07.023")</f>
        <v>https://doi.org/10.1016/j.ajcnut.2023.07.023</v>
      </c>
      <c r="F98">
        <v>6.5</v>
      </c>
    </row>
    <row r="99" ht="25.5" customHeight="1" spans="1:6">
      <c r="A99" t="s">
        <v>1009</v>
      </c>
      <c r="B99" t="s">
        <v>1218</v>
      </c>
      <c r="C99" t="s">
        <v>1219</v>
      </c>
      <c r="D99" t="s">
        <v>1220</v>
      </c>
      <c r="E99" s="2" t="str">
        <f>HYPERLINK("https://doi.org/10.1542/peds.2020-009985","https://doi.org/10.1542/peds.2020-009985")</f>
        <v>https://doi.org/10.1542/peds.2020-009985</v>
      </c>
      <c r="F99">
        <v>6.2</v>
      </c>
    </row>
    <row r="100" ht="25.5" customHeight="1" spans="1:6">
      <c r="A100" t="s">
        <v>1009</v>
      </c>
      <c r="B100" t="s">
        <v>997</v>
      </c>
      <c r="C100" t="s">
        <v>1221</v>
      </c>
      <c r="D100" t="s">
        <v>1222</v>
      </c>
      <c r="E100" s="2" t="str">
        <f>HYPERLINK("https://doi.org/10.1021/acs.jafc.2c05469","https://doi.org/10.1021/acs.jafc.2c05469")</f>
        <v>https://doi.org/10.1021/acs.jafc.2c05469</v>
      </c>
      <c r="F100">
        <v>5.7</v>
      </c>
    </row>
    <row r="101" ht="25.5" customHeight="1" spans="1:6">
      <c r="A101" t="s">
        <v>1009</v>
      </c>
      <c r="B101" t="s">
        <v>1071</v>
      </c>
      <c r="C101" t="s">
        <v>1223</v>
      </c>
      <c r="D101" t="s">
        <v>1224</v>
      </c>
      <c r="E101" s="2" t="str">
        <f>HYPERLINK("https://doi.org/10.1002/jbmr.4709","https://doi.org/10.1002/jbmr.4709")</f>
        <v>https://doi.org/10.1002/jbmr.4709</v>
      </c>
      <c r="F101">
        <v>5.1</v>
      </c>
    </row>
    <row r="102" ht="25.5" customHeight="1" spans="1:6">
      <c r="A102" t="s">
        <v>1009</v>
      </c>
      <c r="B102" t="s">
        <v>1225</v>
      </c>
      <c r="C102" t="s">
        <v>1226</v>
      </c>
      <c r="D102" t="s">
        <v>1227</v>
      </c>
      <c r="E102" s="2" t="str">
        <f>HYPERLINK("https://doi.org/10.1111/ceo.13818","https://doi.org/10.1111/ceo.13818")</f>
        <v>https://doi.org/10.1111/ceo.13818</v>
      </c>
      <c r="F102">
        <v>5</v>
      </c>
    </row>
    <row r="103" ht="25.5" customHeight="1" spans="1:6">
      <c r="A103" t="s">
        <v>1009</v>
      </c>
      <c r="B103" t="s">
        <v>1218</v>
      </c>
      <c r="C103" t="s">
        <v>1228</v>
      </c>
      <c r="D103" t="s">
        <v>1229</v>
      </c>
      <c r="E103" s="2" t="str">
        <f>HYPERLINK("https://www.nejm.org/doi/full/10.1056/NEJMoa2307212","https://www.nejm.org/doi/full/10.1056/NEJMoa2307212")</f>
        <v>https://www.nejm.org/doi/full/10.1056/NEJMoa2307212</v>
      </c>
      <c r="F103">
        <v>91.2</v>
      </c>
    </row>
    <row r="104" ht="25.5" customHeight="1" spans="1:6">
      <c r="A104" t="s">
        <v>1009</v>
      </c>
      <c r="B104" t="s">
        <v>991</v>
      </c>
      <c r="C104" t="s">
        <v>1230</v>
      </c>
      <c r="D104" t="s">
        <v>1231</v>
      </c>
      <c r="E104" s="2" t="str">
        <f>HYPERLINK("https://doi.org/10.1016/j.ajog.2021.06.069","https://doi.org/10.1016/j.ajog.2021.06.069")</f>
        <v>https://doi.org/10.1016/j.ajog.2021.06.069</v>
      </c>
      <c r="F104">
        <v>6.5</v>
      </c>
    </row>
    <row r="105" ht="25.5" customHeight="1" spans="1:6">
      <c r="A105" t="s">
        <v>1009</v>
      </c>
      <c r="B105" t="s">
        <v>1232</v>
      </c>
      <c r="C105" t="s">
        <v>1233</v>
      </c>
      <c r="D105" t="s">
        <v>1234</v>
      </c>
      <c r="E105" s="2" t="str">
        <f>HYPERLINK("https://doi.org/10.1007/s13311-018-0662-z","10.1007/s13311-018-0662-z")</f>
        <v>10.1007/s13311-018-0662-z</v>
      </c>
      <c r="F105">
        <v>5.6</v>
      </c>
    </row>
    <row r="106" ht="25.5" customHeight="1" spans="1:6">
      <c r="A106" t="s">
        <v>48</v>
      </c>
      <c r="B106" t="s">
        <v>991</v>
      </c>
      <c r="C106" t="s">
        <v>1235</v>
      </c>
      <c r="D106" t="s">
        <v>1236</v>
      </c>
      <c r="E106" s="2" t="str">
        <f>HYPERLINK("https://pubmed.ncbi.nlm.nih.gov/37836525/","https://pubmed.ncbi.nlm.nih.gov/37836525/")</f>
        <v>https://pubmed.ncbi.nlm.nih.gov/37836525/</v>
      </c>
      <c r="F106">
        <v>5.9</v>
      </c>
    </row>
    <row r="107" ht="25.5" customHeight="1" spans="1:6">
      <c r="A107" t="s">
        <v>48</v>
      </c>
      <c r="B107" t="s">
        <v>1237</v>
      </c>
      <c r="C107" t="s">
        <v>1238</v>
      </c>
      <c r="D107" t="s">
        <v>1239</v>
      </c>
      <c r="E107" s="2" t="str">
        <f>HYPERLINK("https://pubmed.ncbi.nlm.nih.gov/26109079/","https://pubmed.ncbi.nlm.nih.gov/26109079/")</f>
        <v>https://pubmed.ncbi.nlm.nih.gov/26109079/</v>
      </c>
      <c r="F107">
        <v>5.578</v>
      </c>
    </row>
    <row r="108" ht="25.5" customHeight="1" spans="1:6">
      <c r="A108" t="s">
        <v>48</v>
      </c>
      <c r="B108" t="s">
        <v>1042</v>
      </c>
      <c r="C108" t="s">
        <v>1240</v>
      </c>
      <c r="D108" t="s">
        <v>1241</v>
      </c>
      <c r="E108" s="2" t="str">
        <f>HYPERLINK("https://www.cell.com/heliyon/fulltext/S2405-8440%2823%2905159-9","https://www.cell.com/heliyon/fulltext/S2405-8440%2823%2905159-9")</f>
        <v>https://www.cell.com/heliyon/fulltext/S2405-8440%2823%2905159-9</v>
      </c>
      <c r="F108">
        <v>3.4</v>
      </c>
    </row>
    <row r="109" ht="25.5" customHeight="1" spans="1:6">
      <c r="A109" t="s">
        <v>48</v>
      </c>
      <c r="B109" t="s">
        <v>1017</v>
      </c>
      <c r="C109" t="s">
        <v>1242</v>
      </c>
      <c r="D109" t="s">
        <v>1243</v>
      </c>
      <c r="E109" s="2" t="str">
        <f>HYPERLINK("https://doi.org/10.1016/j.brainres.2024.149352","https://doi.org/10.1016/j.brainres.2024.149352")</f>
        <v>https://doi.org/10.1016/j.brainres.2024.149352</v>
      </c>
      <c r="F109">
        <v>2.6</v>
      </c>
    </row>
    <row r="110" ht="25.5" customHeight="1" spans="1:6">
      <c r="A110" t="s">
        <v>48</v>
      </c>
      <c r="B110" t="s">
        <v>994</v>
      </c>
      <c r="C110" t="s">
        <v>1244</v>
      </c>
      <c r="D110" t="s">
        <v>1245</v>
      </c>
      <c r="E110" s="2" t="str">
        <f>HYPERLINK("https://www.researchgate.net/publication/373196203_Nattokinase_Supplementation_and_Cardiovascular_Risk_Factors_A_Systematic_Review_and_Meta-Analysis_of_Randomized_Controlled_Trials","https://www.researchgate.net/publication/373196203_Nattokinase_Supplementation_and_Cardiovascular_Risk_Factors_A_Systematic_Review_and_Meta-Analysis_of_Randomized_Controlled_Trials")</f>
        <v>https://www.researchgate.net/publication/373196203_Nattokinase_Supplementation_and_Cardiovascular_Risk_Factors_A_Systematic_Review_and_Meta-Analysis_of_Randomized_Controlled_Trials</v>
      </c>
      <c r="F110">
        <v>1.9</v>
      </c>
    </row>
    <row r="111" ht="25.5" customHeight="1" spans="1:6">
      <c r="A111" t="s">
        <v>423</v>
      </c>
      <c r="B111" t="s">
        <v>1246</v>
      </c>
      <c r="C111" t="s">
        <v>1247</v>
      </c>
      <c r="D111" t="s">
        <v>1248</v>
      </c>
      <c r="E111" s="2" t="str">
        <f>HYPERLINK("https://pmc.ncbi.nlm.nih.gov/articles/PMC8510895/#Sec13","https://pmc.ncbi.nlm.nih.gov/articles/PMC8510895/#Sec13")</f>
        <v>https://pmc.ncbi.nlm.nih.gov/articles/PMC8510895/#Sec13</v>
      </c>
      <c r="F111">
        <v>2.8</v>
      </c>
    </row>
    <row r="112" ht="25.5" customHeight="1" spans="1:6">
      <c r="A112" t="s">
        <v>423</v>
      </c>
      <c r="B112" t="s">
        <v>1249</v>
      </c>
      <c r="C112" t="s">
        <v>1250</v>
      </c>
      <c r="D112" t="s">
        <v>1251</v>
      </c>
      <c r="E112" s="2" t="str">
        <f>HYPERLINK("https://www.sciencedirect.com/science/article/pii/S0090429519302365?via%3Dihub#sec0016","https://www.sciencedirect.com/science/article/pii/S0090429519302365?via%3Dihub#sec0016")</f>
        <v>https://www.sciencedirect.com/science/article/pii/S0090429519302365?via%3Dihub#sec0016</v>
      </c>
      <c r="F112">
        <v>2.1</v>
      </c>
    </row>
    <row r="113" ht="25.5" customHeight="1" spans="1:6">
      <c r="A113" t="s">
        <v>423</v>
      </c>
      <c r="B113" t="s">
        <v>1184</v>
      </c>
      <c r="C113" t="s">
        <v>1252</v>
      </c>
      <c r="D113" t="s">
        <v>1253</v>
      </c>
      <c r="E113" s="2" t="str">
        <f>HYPERLINK("https://pmc.ncbi.nlm.nih.gov/articles/PMC10648974/","https://pmc.ncbi.nlm.nih.gov/articles/PMC10648974/")</f>
        <v>https://pmc.ncbi.nlm.nih.gov/articles/PMC10648974/</v>
      </c>
      <c r="F113">
        <v>1.9</v>
      </c>
    </row>
    <row r="114" ht="25.5" customHeight="1" spans="1:6">
      <c r="A114" t="s">
        <v>423</v>
      </c>
      <c r="B114" t="s">
        <v>1254</v>
      </c>
      <c r="C114" t="s">
        <v>1255</v>
      </c>
      <c r="D114" t="s">
        <v>1256</v>
      </c>
      <c r="E114" s="2" t="str">
        <f>HYPERLINK("https://pmc.ncbi.nlm.nih.gov/articles/PMC7333342/#Abs1","https://pmc.ncbi.nlm.nih.gov/articles/PMC7333342/#Abs1")</f>
        <v>https://pmc.ncbi.nlm.nih.gov/articles/PMC7333342/#Abs1</v>
      </c>
      <c r="F114">
        <v>1.7</v>
      </c>
    </row>
    <row r="115" ht="25.5" customHeight="1" spans="1:6">
      <c r="A115" t="s">
        <v>423</v>
      </c>
      <c r="B115" t="s">
        <v>1017</v>
      </c>
      <c r="C115" t="s">
        <v>1257</v>
      </c>
      <c r="D115" t="s">
        <v>1258</v>
      </c>
      <c r="E115" s="2" t="str">
        <f>HYPERLINK("https://linkinghub.elsevier.com/retrieve/pii/S0261-5614(16)30147-9","https://linkinghub.elsevier.com/retrieve/pii/S0261-5614(16)30147-9")</f>
        <v>https://linkinghub.elsevier.com/retrieve/pii/S0261-5614(16)30147-9</v>
      </c>
      <c r="F115">
        <v>6.6</v>
      </c>
    </row>
    <row r="116" ht="25.5" customHeight="1" spans="1:6">
      <c r="A116" t="s">
        <v>423</v>
      </c>
      <c r="B116" t="s">
        <v>1071</v>
      </c>
      <c r="C116" t="s">
        <v>1259</v>
      </c>
      <c r="D116" t="s">
        <v>1260</v>
      </c>
      <c r="E116" s="2" t="str">
        <f>HYPERLINK("https://pmc.ncbi.nlm.nih.gov/articles/PMC6566250/","https://pmc.ncbi.nlm.nih.gov/articles/PMC6566250/")</f>
        <v>https://pmc.ncbi.nlm.nih.gov/articles/PMC6566250/</v>
      </c>
      <c r="F116">
        <v>4.8</v>
      </c>
    </row>
    <row r="117" ht="25.5" customHeight="1" spans="1:6">
      <c r="A117" t="s">
        <v>423</v>
      </c>
      <c r="B117" t="s">
        <v>1237</v>
      </c>
      <c r="C117" t="s">
        <v>1261</v>
      </c>
      <c r="D117" t="s">
        <v>1262</v>
      </c>
      <c r="E117" s="2" t="str">
        <f>HYPERLINK("https://onlinelibrary.wiley.com/doi/10.1002/mnfr.201600993","https://onlinelibrary.wiley.com/doi/10.1002/mnfr.201600993")</f>
        <v>https://onlinelibrary.wiley.com/doi/10.1002/mnfr.201600993</v>
      </c>
      <c r="F117">
        <v>4.5</v>
      </c>
    </row>
    <row r="118" ht="25.5" customHeight="1" spans="1:6">
      <c r="A118" t="s">
        <v>24</v>
      </c>
      <c r="B118" t="s">
        <v>1042</v>
      </c>
      <c r="C118" t="s">
        <v>1263</v>
      </c>
      <c r="D118" t="s">
        <v>1264</v>
      </c>
      <c r="E118" s="2" t="str">
        <f>HYPERLINK("https://doi.org/10.1080/19390211.2020.1739187","https://doi.org/10.1080/19390211.2020.1739187")</f>
        <v>https://doi.org/10.1080/19390211.2020.1739187</v>
      </c>
      <c r="F118">
        <v>1.9</v>
      </c>
    </row>
    <row r="119" ht="25.5" customHeight="1" spans="1:6">
      <c r="A119" t="s">
        <v>24</v>
      </c>
      <c r="B119" t="s">
        <v>1129</v>
      </c>
      <c r="C119" t="s">
        <v>1265</v>
      </c>
      <c r="D119" t="s">
        <v>1266</v>
      </c>
      <c r="E119" s="2" t="str">
        <f>HYPERLINK("https://doi.org/10.1016/j.genrep.2023.101844","https://doi.org/10.1016/j.genrep.2023.101844")</f>
        <v>https://doi.org/10.1016/j.genrep.2023.101844</v>
      </c>
      <c r="F119">
        <v>1</v>
      </c>
    </row>
    <row r="120" ht="25.5" customHeight="1" spans="1:6">
      <c r="A120" t="s">
        <v>52</v>
      </c>
      <c r="B120" t="s">
        <v>1045</v>
      </c>
      <c r="C120" t="s">
        <v>1267</v>
      </c>
      <c r="D120" t="s">
        <v>1268</v>
      </c>
      <c r="E120" s="2" t="str">
        <f>HYPERLINK("https://doi.org/10.1039/D2FO01515C","https://doi.org/10.1039/D2FO01515C")</f>
        <v>https://doi.org/10.1039/D2FO01515C</v>
      </c>
      <c r="F120">
        <v>6.1</v>
      </c>
    </row>
    <row r="121" ht="25.5" customHeight="1" spans="1:6">
      <c r="A121" t="s">
        <v>52</v>
      </c>
      <c r="B121" t="s">
        <v>1136</v>
      </c>
      <c r="C121" t="s">
        <v>1269</v>
      </c>
      <c r="D121" t="s">
        <v>1270</v>
      </c>
      <c r="E121" s="2" t="str">
        <f>HYPERLINK("https://doi.org/10.1016/j.jnha.2024.100287","https://doi.org/10.1016/j.jnha.2024.100287")</f>
        <v>https://doi.org/10.1016/j.jnha.2024.100287</v>
      </c>
      <c r="F121">
        <v>5.1</v>
      </c>
    </row>
    <row r="122" ht="25.5" customHeight="1" spans="1:6">
      <c r="A122" t="s">
        <v>52</v>
      </c>
      <c r="B122" t="s">
        <v>1271</v>
      </c>
      <c r="C122" t="s">
        <v>1272</v>
      </c>
      <c r="D122" t="s">
        <v>1273</v>
      </c>
      <c r="E122" s="2" t="str">
        <f>HYPERLINK("https://doi.org/10.3390/nu16172965","https://doi.org/10.3390/nu16172965")</f>
        <v>https://doi.org/10.3390/nu16172965</v>
      </c>
      <c r="F122">
        <v>4.8</v>
      </c>
    </row>
    <row r="123" ht="25.5" customHeight="1" spans="1:6">
      <c r="A123" t="s">
        <v>52</v>
      </c>
      <c r="B123" t="s">
        <v>1274</v>
      </c>
      <c r="C123" t="s">
        <v>1275</v>
      </c>
      <c r="D123" t="s">
        <v>1276</v>
      </c>
      <c r="E123" s="2" t="str">
        <f>HYPERLINK("https://doi.org/10.1016/j.clnesp.2018.01.067","https://doi.org/10.1016/j.clnesp.2018.01.067")</f>
        <v>https://doi.org/10.1016/j.clnesp.2018.01.067</v>
      </c>
      <c r="F123">
        <v>6.4</v>
      </c>
    </row>
    <row r="124" ht="25.5" customHeight="1" spans="1:6">
      <c r="A124" t="s">
        <v>52</v>
      </c>
      <c r="B124" t="s">
        <v>1277</v>
      </c>
      <c r="C124" t="s">
        <v>1278</v>
      </c>
      <c r="D124" t="s">
        <v>1279</v>
      </c>
      <c r="E124" s="2" t="str">
        <f>HYPERLINK("https://doi.org/10.1249/01.mss.0000183195.10867.d0","https://doi.org/10.1249/01.mss.0000183195.10867.d0")</f>
        <v>https://doi.org/10.1249/01.mss.0000183195.10867.d0</v>
      </c>
      <c r="F124">
        <v>5.4</v>
      </c>
    </row>
    <row r="125" ht="25.5" customHeight="1" spans="1:6">
      <c r="A125" t="s">
        <v>52</v>
      </c>
      <c r="B125" t="s">
        <v>991</v>
      </c>
      <c r="C125" t="s">
        <v>1280</v>
      </c>
      <c r="D125" t="s">
        <v>1281</v>
      </c>
      <c r="E125" s="2" t="str">
        <f>HYPERLINK("https://doi.org/10.3390/nu14245235","https://doi.org/10.3390/nu14245235")</f>
        <v>https://doi.org/10.3390/nu14245235</v>
      </c>
      <c r="F125">
        <v>4.8</v>
      </c>
    </row>
    <row r="126" ht="25.5" customHeight="1" spans="1:6">
      <c r="A126" t="s">
        <v>45</v>
      </c>
      <c r="B126" t="s">
        <v>1282</v>
      </c>
      <c r="C126" t="s">
        <v>1283</v>
      </c>
      <c r="D126" t="s">
        <v>1284</v>
      </c>
      <c r="E126" s="2" t="str">
        <f>HYPERLINK("https://doi.org/10.3389/fnut.2022.1023997","https://doi.org/10.3389/fnut.2022.1023997")</f>
        <v>https://doi.org/10.3389/fnut.2022.1023997</v>
      </c>
      <c r="F126">
        <v>4</v>
      </c>
    </row>
    <row r="127" ht="25.5" customHeight="1" spans="1:6">
      <c r="A127" t="s">
        <v>45</v>
      </c>
      <c r="B127" t="s">
        <v>1218</v>
      </c>
      <c r="C127" t="s">
        <v>1285</v>
      </c>
      <c r="D127" t="s">
        <v>1286</v>
      </c>
      <c r="E127" s="2" t="str">
        <f>HYPERLINK("https://pubmed.ncbi.nlm.nih.gov/26785820/","https://pubmed.ncbi.nlm.nih.gov/26785820/")</f>
        <v>https://pubmed.ncbi.nlm.nih.gov/26785820/</v>
      </c>
      <c r="F127">
        <v>3</v>
      </c>
    </row>
    <row r="128" ht="25.5" customHeight="1" spans="1:6">
      <c r="A128" t="s">
        <v>45</v>
      </c>
      <c r="B128" t="s">
        <v>1017</v>
      </c>
      <c r="C128" t="s">
        <v>1287</v>
      </c>
      <c r="D128" t="s">
        <v>1288</v>
      </c>
      <c r="E128" s="2" t="str">
        <f>HYPERLINK("https://doi.org/10.3389/fcvm.2021.741542","https://doi.org/10.3389/fcvm.2021.741542")</f>
        <v>https://doi.org/10.3389/fcvm.2021.741542</v>
      </c>
      <c r="F128">
        <v>2.8</v>
      </c>
    </row>
    <row r="129" ht="25.5" customHeight="1" spans="1:6">
      <c r="A129" t="s">
        <v>1289</v>
      </c>
      <c r="B129" t="s">
        <v>1136</v>
      </c>
      <c r="C129" t="s">
        <v>1290</v>
      </c>
      <c r="D129" t="s">
        <v>1291</v>
      </c>
      <c r="E129" s="2" t="str">
        <f>HYPERLINK("https://doi.org/10.1007/s40279-023-01823-2","https://doi.org/10.1007/s40279-023-01823-2")</f>
        <v>https://doi.org/10.1007/s40279-023-01823-2</v>
      </c>
      <c r="F129">
        <v>9.4</v>
      </c>
    </row>
    <row r="130" ht="25.5" customHeight="1" spans="1:6">
      <c r="A130" t="s">
        <v>56</v>
      </c>
      <c r="B130" t="s">
        <v>1292</v>
      </c>
      <c r="C130" t="s">
        <v>1293</v>
      </c>
      <c r="D130" t="s">
        <v>1294</v>
      </c>
      <c r="E130" s="2" t="str">
        <f>HYPERLINK("https://nutritionandmetabolism.biomedcentral.com/articles/10.1186/s12986-025-00902-7#:~:text=Recent%20systematic%20review%20also%20concluded,to%20strength%20training%20%5B30%5D.","https://nutritionandmetabolism.biomedcentral.com/articles/10.1186/s12986-025-00902-7#:~:text=Recent%20systematic%20review%20also%20concluded,to%20strength%20training%20%5B30%5D.")</f>
        <v>https://nutritionandmetabolism.biomedcentral.com/articles/10.1186/s12986-025-00902-7#:~:text=Recent%20systematic%20review%20also%20concluded,to%20strength%20training%20%5B30%5D.</v>
      </c>
      <c r="F130">
        <v>4.3</v>
      </c>
    </row>
    <row r="131" ht="25.5" customHeight="1" spans="1:6">
      <c r="A131" t="s">
        <v>56</v>
      </c>
      <c r="B131" t="s">
        <v>1045</v>
      </c>
      <c r="C131" t="s">
        <v>1295</v>
      </c>
      <c r="D131" t="s">
        <v>1296</v>
      </c>
      <c r="E131" s="2" t="str">
        <f>HYPERLINK("https://doi.org/10.1371/journal.pone.0257843","https://doi.org/10.1371/journal.pone.0257843")</f>
        <v>https://doi.org/10.1371/journal.pone.0257843</v>
      </c>
      <c r="F131">
        <v>3.7</v>
      </c>
    </row>
    <row r="132" ht="25.5" customHeight="1" spans="1:6">
      <c r="A132" t="s">
        <v>56</v>
      </c>
      <c r="B132" t="s">
        <v>1297</v>
      </c>
      <c r="C132" t="s">
        <v>1298</v>
      </c>
      <c r="D132" t="s">
        <v>1299</v>
      </c>
      <c r="E132" s="2" t="str">
        <f>HYPERLINK("https://pubmed.ncbi.nlm.nih.gov/39083548/","https://pubmed.ncbi.nlm.nih.gov/39083548/")</f>
        <v>https://pubmed.ncbi.nlm.nih.gov/39083548/</v>
      </c>
      <c r="F132">
        <v>2.7</v>
      </c>
    </row>
    <row r="133" ht="25.5" customHeight="1" spans="1:6">
      <c r="A133" t="s">
        <v>56</v>
      </c>
      <c r="B133" t="s">
        <v>1026</v>
      </c>
      <c r="C133" t="s">
        <v>1300</v>
      </c>
      <c r="D133" t="s">
        <v>1301</v>
      </c>
      <c r="E133" s="2" t="str">
        <f>HYPERLINK("https://doi.org/10.1016/j.explore.2024.103062","https://doi.org/10.1016/j.explore.2024.103062")</f>
        <v>https://doi.org/10.1016/j.explore.2024.103062</v>
      </c>
      <c r="F133">
        <v>2.6</v>
      </c>
    </row>
    <row r="134" ht="25.5" customHeight="1" spans="1:6">
      <c r="A134" t="s">
        <v>46</v>
      </c>
      <c r="B134" t="s">
        <v>1302</v>
      </c>
      <c r="C134" t="s">
        <v>1303</v>
      </c>
      <c r="D134" t="s">
        <v>1304</v>
      </c>
      <c r="E134" s="2" t="str">
        <f>HYPERLINK("https://pubmed.ncbi.nlm.nih.gov/32877686/","https://pubmed.ncbi.nlm.nih.gov/32877686/")</f>
        <v>https://pubmed.ncbi.nlm.nih.gov/32877686/</v>
      </c>
      <c r="F134">
        <v>30.9</v>
      </c>
    </row>
    <row r="135" ht="25.5" customHeight="1" spans="1:6">
      <c r="A135" t="s">
        <v>46</v>
      </c>
      <c r="B135" t="s">
        <v>1305</v>
      </c>
      <c r="C135" t="s">
        <v>1306</v>
      </c>
      <c r="D135" t="s">
        <v>1307</v>
      </c>
      <c r="E135" s="2" t="str">
        <f>HYPERLINK("https://pubmed.ncbi.nlm.nih.gov/34952764/","https://pubmed.ncbi.nlm.nih.gov/34952764/")</f>
        <v>https://pubmed.ncbi.nlm.nih.gov/34952764/</v>
      </c>
      <c r="F135">
        <v>12.6</v>
      </c>
    </row>
    <row r="136" ht="25.5" customHeight="1" spans="1:6">
      <c r="A136" t="s">
        <v>50</v>
      </c>
      <c r="B136" t="s">
        <v>1129</v>
      </c>
      <c r="C136" t="s">
        <v>1308</v>
      </c>
      <c r="D136" t="s">
        <v>1309</v>
      </c>
      <c r="E136" s="2" t="str">
        <f>HYPERLINK("https://doi.org/10.3390/jcm13237444","https://doi.org/10.3390/jcm13237444")</f>
        <v>https://doi.org/10.3390/jcm13237444</v>
      </c>
      <c r="F136">
        <v>3</v>
      </c>
    </row>
    <row r="137" ht="25.5" customHeight="1" spans="1:6">
      <c r="A137" t="s">
        <v>50</v>
      </c>
      <c r="B137" t="s">
        <v>1249</v>
      </c>
      <c r="C137" t="s">
        <v>1310</v>
      </c>
      <c r="D137" t="s">
        <v>1311</v>
      </c>
      <c r="E137" s="2" t="str">
        <f>HYPERLINK("https://doi.org/10.3390/pharmacy11040117","https://doi.org/10.3390/pharmacy11040117")</f>
        <v>https://doi.org/10.3390/pharmacy11040117</v>
      </c>
      <c r="F137">
        <v>2</v>
      </c>
    </row>
    <row r="138" ht="25.5" customHeight="1" spans="1:6">
      <c r="A138" t="s">
        <v>1032</v>
      </c>
      <c r="B138" t="s">
        <v>1218</v>
      </c>
      <c r="C138" t="s">
        <v>1312</v>
      </c>
      <c r="D138" t="s">
        <v>1313</v>
      </c>
      <c r="E138" s="2" t="str">
        <f>HYPERLINK("https://pmc.ncbi.nlm.nih.gov/articles/PMC11990587/","https://pmc.ncbi.nlm.nih.gov/articles/PMC11990587/")</f>
        <v>https://pmc.ncbi.nlm.nih.gov/articles/PMC11990587/</v>
      </c>
      <c r="F138">
        <v>6</v>
      </c>
    </row>
    <row r="139" ht="25.5" customHeight="1" spans="1:6">
      <c r="A139" t="s">
        <v>1032</v>
      </c>
      <c r="B139" t="s">
        <v>1000</v>
      </c>
      <c r="C139" t="s">
        <v>1314</v>
      </c>
      <c r="D139" t="s">
        <v>1315</v>
      </c>
      <c r="E139" s="2" t="str">
        <f>HYPERLINK("https://pmc.ncbi.nlm.nih.gov/articles/PMC11206973/","https://pmc.ncbi.nlm.nih.gov/articles/PMC11206973/")</f>
        <v>https://pmc.ncbi.nlm.nih.gov/articles/PMC11206973/</v>
      </c>
      <c r="F139">
        <v>6</v>
      </c>
    </row>
    <row r="140" ht="25.5" customHeight="1" spans="1:6">
      <c r="A140" t="s">
        <v>1032</v>
      </c>
      <c r="B140" t="s">
        <v>1254</v>
      </c>
      <c r="C140" t="s">
        <v>1316</v>
      </c>
      <c r="D140" t="s">
        <v>1317</v>
      </c>
      <c r="E140" s="2" t="str">
        <f>HYPERLINK("https://pmc.ncbi.nlm.nih.gov/articles/PMC9306990/","https://pmc.ncbi.nlm.nih.gov/articles/PMC9306990/")</f>
        <v>https://pmc.ncbi.nlm.nih.gov/articles/PMC9306990/</v>
      </c>
      <c r="F140">
        <v>5.9</v>
      </c>
    </row>
    <row r="141" ht="25.5" customHeight="1" spans="1:6">
      <c r="A141" t="s">
        <v>1032</v>
      </c>
      <c r="B141" t="s">
        <v>1071</v>
      </c>
      <c r="C141" t="s">
        <v>1318</v>
      </c>
      <c r="D141" t="s">
        <v>1319</v>
      </c>
      <c r="E141" s="2" t="str">
        <f>HYPERLINK("https://pmc.ncbi.nlm.nih.gov/articles/PMC11581596/","https://pmc.ncbi.nlm.nih.gov/articles/PMC11581596/")</f>
        <v>https://pmc.ncbi.nlm.nih.gov/articles/PMC11581596/</v>
      </c>
      <c r="F141">
        <v>22.3</v>
      </c>
    </row>
    <row r="142" ht="25.5" customHeight="1" spans="1:6">
      <c r="A142" t="s">
        <v>1032</v>
      </c>
      <c r="B142" t="s">
        <v>1218</v>
      </c>
      <c r="C142" t="s">
        <v>1228</v>
      </c>
      <c r="D142" t="s">
        <v>1320</v>
      </c>
      <c r="E142" s="2" t="str">
        <f>HYPERLINK("https://pmc.ncbi.nlm.nih.gov/articles/PMC10921922/#ABS1","https://pmc.ncbi.nlm.nih.gov/articles/PMC10921922/#ABS1")</f>
        <v>https://pmc.ncbi.nlm.nih.gov/articles/PMC10921922/#ABS1</v>
      </c>
      <c r="F142">
        <v>84.9</v>
      </c>
    </row>
    <row r="143" ht="25.5" customHeight="1" spans="1:6">
      <c r="A143" t="s">
        <v>1032</v>
      </c>
      <c r="B143" t="s">
        <v>1071</v>
      </c>
      <c r="C143" t="s">
        <v>1321</v>
      </c>
      <c r="D143" t="s">
        <v>1322</v>
      </c>
      <c r="E143" s="2" t="str">
        <f>HYPERLINK("https://pmc.ncbi.nlm.nih.gov/articles/PMC6900564/","https://pmc.ncbi.nlm.nih.gov/articles/PMC6900564/")</f>
        <v>https://pmc.ncbi.nlm.nih.gov/articles/PMC6900564/</v>
      </c>
      <c r="F143">
        <v>7.1</v>
      </c>
    </row>
    <row r="144" ht="25.5" customHeight="1" spans="1:6">
      <c r="A144" t="s">
        <v>1035</v>
      </c>
      <c r="B144" t="s">
        <v>986</v>
      </c>
      <c r="C144" t="s">
        <v>1323</v>
      </c>
      <c r="D144" t="s">
        <v>1324</v>
      </c>
      <c r="E144" s="2" t="str">
        <f>HYPERLINK("https://jnnp.bmj.com/content/89/4/382","https://jnnp.bmj.com/content/89/4/382")</f>
        <v>https://jnnp.bmj.com/content/89/4/382</v>
      </c>
      <c r="F144">
        <v>7.5</v>
      </c>
    </row>
    <row r="145" ht="25.5" customHeight="1" spans="1:6">
      <c r="A145" t="s">
        <v>1035</v>
      </c>
      <c r="B145" t="s">
        <v>1218</v>
      </c>
      <c r="C145" t="s">
        <v>1325</v>
      </c>
      <c r="D145" t="s">
        <v>1326</v>
      </c>
      <c r="E145" s="2" t="str">
        <f>HYPERLINK("https://pubmed.ncbi.nlm.nih.gov/38061271/","https://pubmed.ncbi.nlm.nih.gov/38061271/")</f>
        <v>https://pubmed.ncbi.nlm.nih.gov/38061271/</v>
      </c>
      <c r="F145">
        <v>7.4</v>
      </c>
    </row>
    <row r="146" ht="25.5" customHeight="1" spans="1:6">
      <c r="A146" t="s">
        <v>1035</v>
      </c>
      <c r="B146" t="s">
        <v>1327</v>
      </c>
      <c r="C146" t="s">
        <v>1328</v>
      </c>
      <c r="D146" t="s">
        <v>1329</v>
      </c>
      <c r="E146" s="2" t="str">
        <f>HYPERLINK("https://pmc.ncbi.nlm.nih.gov/articles/PMC10546372/","https://pmc.ncbi.nlm.nih.gov/articles/PMC10546372/")</f>
        <v>https://pmc.ncbi.nlm.nih.gov/articles/PMC10546372/</v>
      </c>
      <c r="F146">
        <v>7.4</v>
      </c>
    </row>
    <row r="147" ht="25.5" customHeight="1" spans="1:6">
      <c r="A147" t="s">
        <v>1035</v>
      </c>
      <c r="B147" t="s">
        <v>1175</v>
      </c>
      <c r="C147" t="s">
        <v>1330</v>
      </c>
      <c r="D147" t="s">
        <v>1331</v>
      </c>
      <c r="E147" s="2" t="str">
        <f>HYPERLINK("https://www.sciencedirect.com/science/article/pii/S0002916523054758?via%3Dihub#abs0005","https://www.sciencedirect.com/science/article/pii/S0002916523054758?via%3Dihub#abs0005")</f>
        <v>https://www.sciencedirect.com/science/article/pii/S0002916523054758?via%3Dihub#abs0005</v>
      </c>
      <c r="F147">
        <v>7.09</v>
      </c>
    </row>
    <row r="148" ht="25.5" customHeight="1" spans="1:6">
      <c r="A148" t="s">
        <v>1035</v>
      </c>
      <c r="B148" t="s">
        <v>1017</v>
      </c>
      <c r="C148" t="s">
        <v>1332</v>
      </c>
      <c r="D148" t="s">
        <v>1333</v>
      </c>
      <c r="E148" s="2" t="str">
        <f>HYPERLINK("https://pubmed.ncbi.nlm.nih.gov/23515006/","https://pubmed.ncbi.nlm.nih.gov/23515006/")</f>
        <v>https://pubmed.ncbi.nlm.nih.gov/23515006/</v>
      </c>
      <c r="F148">
        <v>7.09</v>
      </c>
    </row>
    <row r="149" ht="25.5" customHeight="1" spans="1:6">
      <c r="A149" t="s">
        <v>1035</v>
      </c>
      <c r="B149" t="s">
        <v>994</v>
      </c>
      <c r="C149" t="s">
        <v>1334</v>
      </c>
      <c r="D149" t="s">
        <v>1335</v>
      </c>
      <c r="E149" s="2" t="str">
        <f>HYPERLINK("https://pubmed.ncbi.nlm.nih.gov/34113957/","https://pubmed.ncbi.nlm.nih.gov/34113957/")</f>
        <v>https://pubmed.ncbi.nlm.nih.gov/34113957/</v>
      </c>
      <c r="F149">
        <v>7.09</v>
      </c>
    </row>
    <row r="150" ht="25.5" customHeight="1" spans="1:6">
      <c r="A150" t="s">
        <v>1039</v>
      </c>
      <c r="B150" t="s">
        <v>1336</v>
      </c>
      <c r="C150" t="s">
        <v>1337</v>
      </c>
      <c r="D150" t="s">
        <v>1338</v>
      </c>
      <c r="E150" s="2" t="str">
        <f>HYPERLINK("https://doi.org/10.1186/s12916-024-03411-1","https://doi.org/10.1186/s12916-024-03411-1")</f>
        <v>https://doi.org/10.1186/s12916-024-03411-1</v>
      </c>
      <c r="F150">
        <v>13.2</v>
      </c>
    </row>
    <row r="151" ht="25.5" customHeight="1" spans="1:6">
      <c r="A151" t="s">
        <v>1039</v>
      </c>
      <c r="B151" t="s">
        <v>1042</v>
      </c>
      <c r="C151" t="s">
        <v>1339</v>
      </c>
      <c r="D151" t="s">
        <v>1340</v>
      </c>
      <c r="E151" s="2" t="str">
        <f>HYPERLINK("https://doi.org/10.3945/ajcn.2009.28169","https://doi.org/10.3945/ajcn.2009.28169")</f>
        <v>https://doi.org/10.3945/ajcn.2009.28169</v>
      </c>
      <c r="F151">
        <v>5.4</v>
      </c>
    </row>
    <row r="152" ht="25.5" customHeight="1" spans="1:6">
      <c r="A152" t="s">
        <v>1039</v>
      </c>
      <c r="B152" t="s">
        <v>1124</v>
      </c>
      <c r="C152" t="s">
        <v>1341</v>
      </c>
      <c r="D152" t="s">
        <v>1342</v>
      </c>
      <c r="E152" s="2" t="str">
        <f>HYPERLINK("https://doi.org/10.1007/s00394-023-03214-9","https://doi.org/10.1007/s00394-023-03214-9")</f>
        <v>https://doi.org/10.1007/s00394-023-03214-9</v>
      </c>
      <c r="F152">
        <v>4.7</v>
      </c>
    </row>
    <row r="153" ht="25.5" customHeight="1" spans="1:6">
      <c r="A153" t="s">
        <v>1039</v>
      </c>
      <c r="B153" t="s">
        <v>1139</v>
      </c>
      <c r="C153" t="s">
        <v>1343</v>
      </c>
      <c r="D153" t="s">
        <v>1344</v>
      </c>
      <c r="E153" s="2" t="str">
        <f>HYPERLINK("https://doi.org/10.1158/1940-6207.CAPR-14-0042","https://doi.org/10.1158/1940-6207.CAPR-14-0042")</f>
        <v>https://doi.org/10.1158/1940-6207.CAPR-14-0042</v>
      </c>
      <c r="F153">
        <v>4.5</v>
      </c>
    </row>
    <row r="154" ht="25.5" customHeight="1" spans="1:6">
      <c r="A154" t="s">
        <v>78</v>
      </c>
      <c r="B154" t="s">
        <v>1129</v>
      </c>
      <c r="C154" t="s">
        <v>1345</v>
      </c>
      <c r="D154" t="s">
        <v>1346</v>
      </c>
      <c r="E154" s="2" t="str">
        <f>HYPERLINK("https://pmc.ncbi.nlm.nih.gov/articles/PMC5408248/#sec3-marinedrugs-15-00102","https://pmc.ncbi.nlm.nih.gov/articles/PMC5408248/#sec3-marinedrugs-15-00102")</f>
        <v>https://pmc.ncbi.nlm.nih.gov/articles/PMC5408248/#sec3-marinedrugs-15-00102</v>
      </c>
      <c r="F154">
        <v>5.4</v>
      </c>
    </row>
    <row r="155" ht="25.5" customHeight="1" spans="1:6">
      <c r="A155" t="s">
        <v>78</v>
      </c>
      <c r="B155" t="s">
        <v>1347</v>
      </c>
      <c r="C155" t="s">
        <v>1348</v>
      </c>
      <c r="D155" t="s">
        <v>1349</v>
      </c>
      <c r="E155" s="2" t="str">
        <f>HYPERLINK("https://www.mdpi.com/1422-0067/19/11/3551","https://www.mdpi.com/1422-0067/19/11/3551")</f>
        <v>https://www.mdpi.com/1422-0067/19/11/3551</v>
      </c>
      <c r="F155">
        <v>4.9</v>
      </c>
    </row>
    <row r="156" ht="25.5" customHeight="1" spans="1:6">
      <c r="A156" t="s">
        <v>78</v>
      </c>
      <c r="B156" t="s">
        <v>1350</v>
      </c>
      <c r="C156" t="s">
        <v>1351</v>
      </c>
      <c r="D156" t="s">
        <v>1352</v>
      </c>
      <c r="E156" s="2" t="str">
        <f>HYPERLINK("https://www.sciencedirect.com/science/article/pii/S1756464612001442#s0145","https://www.sciencedirect.com/science/article/pii/S1756464612001442#s0145")</f>
        <v>https://www.sciencedirect.com/science/article/pii/S1756464612001442#s0145</v>
      </c>
      <c r="F156">
        <v>4.1</v>
      </c>
    </row>
    <row r="157" ht="25.5" customHeight="1" spans="1:6">
      <c r="A157" t="s">
        <v>78</v>
      </c>
      <c r="B157" t="s">
        <v>1017</v>
      </c>
      <c r="C157" t="s">
        <v>1353</v>
      </c>
      <c r="D157" t="s">
        <v>1354</v>
      </c>
      <c r="E157" s="2" t="str">
        <f>HYPERLINK("https://karger.com/spp/article/27/1/47/295741/Oral-Supplementation-of-Specific-Collagen-Peptides","https://karger.com/spp/article/27/1/47/295741/Oral-Supplementation-of-Specific-Collagen-Peptides")</f>
        <v>https://karger.com/spp/article/27/1/47/295741/Oral-Supplementation-of-Specific-Collagen-Peptides</v>
      </c>
      <c r="F157">
        <v>2.7</v>
      </c>
    </row>
    <row r="158" ht="25.5" customHeight="1" spans="1:6">
      <c r="A158" t="s">
        <v>78</v>
      </c>
      <c r="B158" t="s">
        <v>1249</v>
      </c>
      <c r="C158" t="s">
        <v>1355</v>
      </c>
      <c r="D158" t="s">
        <v>1356</v>
      </c>
      <c r="E158" s="2" t="str">
        <f>HYPERLINK("https://karger.com/spp/article/27/3/113/295769","https://karger.com/spp/article/27/3/113/295769")</f>
        <v>https://karger.com/spp/article/27/3/113/295769</v>
      </c>
      <c r="F158">
        <v>2.7</v>
      </c>
    </row>
    <row r="159" ht="25.5" customHeight="1" spans="1:6">
      <c r="A159" t="s">
        <v>67</v>
      </c>
      <c r="B159" t="s">
        <v>986</v>
      </c>
      <c r="C159" t="s">
        <v>1357</v>
      </c>
      <c r="D159" t="s">
        <v>1358</v>
      </c>
      <c r="E159" s="2" t="str">
        <f>HYPERLINK("https://bmcmedicine.biomedcentral.com/articles/10.1186/s12916-024-03793-2","https://bmcmedicine.biomedcentral.com/articles/10.1186/s12916-024-03793-2")</f>
        <v>https://bmcmedicine.biomedcentral.com/articles/10.1186/s12916-024-03793-2</v>
      </c>
      <c r="F159">
        <v>8.3</v>
      </c>
    </row>
    <row r="160" ht="25.5" customHeight="1" spans="1:6">
      <c r="A160" t="s">
        <v>67</v>
      </c>
      <c r="B160" t="s">
        <v>1359</v>
      </c>
      <c r="C160" t="s">
        <v>1360</v>
      </c>
      <c r="D160" t="s">
        <v>1361</v>
      </c>
      <c r="E160" s="2" t="str">
        <f>HYPERLINK("https://link.springer.com/article/10.1007/s10495-024-02040-6","https://link.springer.com/article/10.1007/s10495-024-02040-6")</f>
        <v>https://link.springer.com/article/10.1007/s10495-024-02040-6</v>
      </c>
      <c r="F160">
        <v>8.1</v>
      </c>
    </row>
    <row r="161" ht="25.5" customHeight="1" spans="1:6">
      <c r="A161" t="s">
        <v>1048</v>
      </c>
      <c r="B161" t="s">
        <v>1042</v>
      </c>
      <c r="C161" t="s">
        <v>1362</v>
      </c>
      <c r="D161" t="s">
        <v>1363</v>
      </c>
      <c r="E161" s="2" t="str">
        <f>HYPERLINK("https://doi.org/10.1111/and.12482","https://doi.org/10.1111/and.12482")</f>
        <v>https://doi.org/10.1111/and.12482</v>
      </c>
      <c r="F161">
        <v>2</v>
      </c>
    </row>
    <row r="162" ht="25.5" customHeight="1" spans="1:6">
      <c r="A162" t="s">
        <v>1048</v>
      </c>
      <c r="B162" t="s">
        <v>1254</v>
      </c>
      <c r="C162" t="s">
        <v>1364</v>
      </c>
      <c r="D162" t="s">
        <v>1365</v>
      </c>
      <c r="E162" s="2" t="str">
        <f>HYPERLINK("https://onlinelibrary.wiley.com/doi/10.1111/j.1439-0272.2008.00892.x","https://onlinelibrary.wiley.com/doi/10.1111/j.1439-0272.2008.00892.x")</f>
        <v>https://onlinelibrary.wiley.com/doi/10.1111/j.1439-0272.2008.00892.x</v>
      </c>
      <c r="F162">
        <v>2</v>
      </c>
    </row>
    <row r="163" ht="25.5" customHeight="1" spans="1:6">
      <c r="A163" t="s">
        <v>1048</v>
      </c>
      <c r="B163" t="s">
        <v>1254</v>
      </c>
      <c r="C163" t="s">
        <v>1366</v>
      </c>
      <c r="D163" t="s">
        <v>1367</v>
      </c>
      <c r="E163" s="2" t="str">
        <f>HYPERLINK("https://doi.org/10.1111/and.12482","https://doi.org/10.1111/and.12482")</f>
        <v>https://doi.org/10.1111/and.12482</v>
      </c>
      <c r="F163">
        <v>2.3</v>
      </c>
    </row>
    <row r="164" ht="25.5" customHeight="1" spans="1:6">
      <c r="A164" t="s">
        <v>1048</v>
      </c>
      <c r="B164" t="s">
        <v>1067</v>
      </c>
      <c r="C164" t="s">
        <v>1368</v>
      </c>
      <c r="D164" t="s">
        <v>1369</v>
      </c>
      <c r="E164" s="2" t="str">
        <f>HYPERLINK("https://doi.org/10.1186/s12970-019-0270-2","https://doi.org/10.1186/s12970-019-0270-2")</f>
        <v>https://doi.org/10.1186/s12970-019-0270-2</v>
      </c>
      <c r="F164">
        <v>4</v>
      </c>
    </row>
    <row r="165" ht="25.5" customHeight="1" spans="1:6">
      <c r="A165" t="s">
        <v>1048</v>
      </c>
      <c r="B165" t="s">
        <v>1129</v>
      </c>
      <c r="C165" t="s">
        <v>1370</v>
      </c>
      <c r="D165" t="s">
        <v>1371</v>
      </c>
      <c r="E165" s="2" t="str">
        <f>HYPERLINK("https://doi.org/10.1080/07315724.2018.1564088","https://doi.org/10.1080/07315724.2018.1564088")</f>
        <v>https://doi.org/10.1080/07315724.2018.1564088</v>
      </c>
      <c r="F165">
        <v>3</v>
      </c>
    </row>
    <row r="166" ht="25.5" customHeight="1" spans="1:6">
      <c r="A166" t="s">
        <v>711</v>
      </c>
      <c r="B166" t="s">
        <v>1051</v>
      </c>
      <c r="C166" t="s">
        <v>1372</v>
      </c>
      <c r="D166" t="s">
        <v>1373</v>
      </c>
      <c r="E166" s="2" t="str">
        <f>HYPERLINK("https://pubmed.ncbi.nlm.nih.gov/37614081/#full-view-affiliation-1","https://pubmed.ncbi.nlm.nih.gov/37614081/#full-view-affiliation-1")</f>
        <v>https://pubmed.ncbi.nlm.nih.gov/37614081/#full-view-affiliation-1</v>
      </c>
      <c r="F166">
        <v>4.3</v>
      </c>
    </row>
    <row r="167" ht="25.5" customHeight="1" spans="1:6">
      <c r="A167" t="s">
        <v>711</v>
      </c>
      <c r="B167" t="s">
        <v>1051</v>
      </c>
      <c r="C167" t="s">
        <v>1374</v>
      </c>
      <c r="D167" t="s">
        <v>1375</v>
      </c>
      <c r="E167" s="2" t="str">
        <f>HYPERLINK("https://pubmed.ncbi.nlm.nih.gov/34628695/","https://pubmed.ncbi.nlm.nih.gov/34628695/")</f>
        <v>https://pubmed.ncbi.nlm.nih.gov/34628695/</v>
      </c>
      <c r="F167">
        <v>4.3</v>
      </c>
    </row>
    <row r="168" ht="25.5" customHeight="1" spans="1:6">
      <c r="A168" t="s">
        <v>711</v>
      </c>
      <c r="B168" t="s">
        <v>1051</v>
      </c>
      <c r="C168" t="s">
        <v>1376</v>
      </c>
      <c r="D168" t="s">
        <v>1377</v>
      </c>
      <c r="E168" s="2" t="str">
        <f>HYPERLINK("https://link.springer.com/article/10.1007/s12275-021-1329-8","https://link.springer.com/article/10.1007/s12275-021-1329-8")</f>
        <v>https://link.springer.com/article/10.1007/s12275-021-1329-8</v>
      </c>
      <c r="F168">
        <v>3.7</v>
      </c>
    </row>
    <row r="169" ht="25.5" customHeight="1" spans="1:6">
      <c r="A169" t="s">
        <v>711</v>
      </c>
      <c r="B169" t="s">
        <v>1051</v>
      </c>
      <c r="C169" t="s">
        <v>1378</v>
      </c>
      <c r="D169" t="s">
        <v>1379</v>
      </c>
      <c r="E169" s="2" t="str">
        <f>HYPERLINK("https://www.mdpi.com/2072-6643/14/9/1858","https://www.mdpi.com/2072-6643/14/9/1858")</f>
        <v>https://www.mdpi.com/2072-6643/14/9/1858</v>
      </c>
      <c r="F169">
        <v>5</v>
      </c>
    </row>
    <row r="170" ht="25.5" customHeight="1" spans="1:6">
      <c r="A170" t="s">
        <v>740</v>
      </c>
      <c r="B170" t="s">
        <v>994</v>
      </c>
      <c r="C170" t="s">
        <v>1380</v>
      </c>
      <c r="D170" t="s">
        <v>1381</v>
      </c>
      <c r="E170" s="2" t="str">
        <f>HYPERLINK("https://onlinelibrary.wiley.com/doi/10.1002/ana.22189","https://onlinelibrary.wiley.com/doi/10.1002/ana.22189")</f>
        <v>https://onlinelibrary.wiley.com/doi/10.1002/ana.22189</v>
      </c>
      <c r="F170">
        <v>8.9</v>
      </c>
    </row>
    <row r="171" ht="25.5" customHeight="1" spans="1:6">
      <c r="A171" t="s">
        <v>740</v>
      </c>
      <c r="B171" t="s">
        <v>1042</v>
      </c>
      <c r="C171" t="s">
        <v>1382</v>
      </c>
      <c r="D171" t="s">
        <v>1383</v>
      </c>
      <c r="E171" s="2" t="str">
        <f>HYPERLINK("https://pmc.ncbi.nlm.nih.gov/articles/PMC6316433/","https://pmc.ncbi.nlm.nih.gov/articles/PMC6316433/")</f>
        <v>https://pmc.ncbi.nlm.nih.gov/articles/PMC6316433/</v>
      </c>
      <c r="F171">
        <v>6</v>
      </c>
    </row>
    <row r="172" ht="25.5" customHeight="1" spans="1:6">
      <c r="A172" t="s">
        <v>740</v>
      </c>
      <c r="B172" t="s">
        <v>1158</v>
      </c>
      <c r="C172" t="s">
        <v>1384</v>
      </c>
      <c r="D172" t="s">
        <v>1385</v>
      </c>
      <c r="E172" s="2" t="str">
        <f>HYPERLINK("https://pmc.ncbi.nlm.nih.gov/articles/PMC11173557/#abstract1","https://pmc.ncbi.nlm.nih.gov/articles/PMC11173557/#abstract1")</f>
        <v>https://pmc.ncbi.nlm.nih.gov/articles/PMC11173557/#abstract1</v>
      </c>
      <c r="F172">
        <v>6</v>
      </c>
    </row>
    <row r="173" ht="25.5" customHeight="1" spans="1:6">
      <c r="A173" t="s">
        <v>740</v>
      </c>
      <c r="B173" t="s">
        <v>1218</v>
      </c>
      <c r="C173" t="s">
        <v>1386</v>
      </c>
      <c r="D173" t="s">
        <v>1387</v>
      </c>
      <c r="E173" s="2" t="str">
        <f>HYPERLINK("https://pmc.ncbi.nlm.nih.gov/articles/PMC9504679/#sec4-nutrients-14-03750","https://pmc.ncbi.nlm.nih.gov/articles/PMC9504679/#sec4-nutrients-14-03750")</f>
        <v>https://pmc.ncbi.nlm.nih.gov/articles/PMC9504679/#sec4-nutrients-14-03750</v>
      </c>
      <c r="F173">
        <v>6</v>
      </c>
    </row>
    <row r="174" ht="25.5" customHeight="1" spans="1:6">
      <c r="A174" t="s">
        <v>43</v>
      </c>
      <c r="B174" t="s">
        <v>997</v>
      </c>
      <c r="C174" t="s">
        <v>1388</v>
      </c>
      <c r="D174" t="s">
        <v>1389</v>
      </c>
      <c r="E174" s="2" t="str">
        <f>HYPERLINK("https://pubmed.ncbi.nlm.nih.gov/33024120/","https://pubmed.ncbi.nlm.nih.gov/33024120/")</f>
        <v>https://pubmed.ncbi.nlm.nih.gov/33024120/</v>
      </c>
      <c r="F174">
        <v>15.7</v>
      </c>
    </row>
    <row r="175" ht="25.5" customHeight="1" spans="1:6">
      <c r="A175" t="s">
        <v>43</v>
      </c>
      <c r="B175" t="s">
        <v>1218</v>
      </c>
      <c r="C175" t="s">
        <v>1390</v>
      </c>
      <c r="D175" t="s">
        <v>1391</v>
      </c>
      <c r="E175" s="2" t="str">
        <f>HYPERLINK("https://pubmed.ncbi.nlm.nih.gov/38074133/","https://pubmed.ncbi.nlm.nih.gov/38074133/")</f>
        <v>https://pubmed.ncbi.nlm.nih.gov/38074133/</v>
      </c>
      <c r="F175">
        <v>11</v>
      </c>
    </row>
    <row r="176" ht="25.5" customHeight="1" spans="1:6">
      <c r="A176" t="s">
        <v>43</v>
      </c>
      <c r="B176" t="s">
        <v>1204</v>
      </c>
      <c r="C176" t="s">
        <v>1392</v>
      </c>
      <c r="D176" t="s">
        <v>1393</v>
      </c>
      <c r="E176" s="2" t="str">
        <f>HYPERLINK("https://pubmed.ncbi.nlm.nih.gov/36178742/","https://pubmed.ncbi.nlm.nih.gov/36178742/")</f>
        <v>https://pubmed.ncbi.nlm.nih.gov/36178742/</v>
      </c>
      <c r="F176">
        <v>9.8</v>
      </c>
    </row>
    <row r="177" ht="25.5" customHeight="1" spans="1:6">
      <c r="A177" t="s">
        <v>43</v>
      </c>
      <c r="B177" t="s">
        <v>1237</v>
      </c>
      <c r="C177" t="s">
        <v>1394</v>
      </c>
      <c r="D177" t="s">
        <v>1395</v>
      </c>
      <c r="E177" s="2" t="str">
        <f>HYPERLINK("https://pubmed.ncbi.nlm.nih.gov/34931749/","https://pubmed.ncbi.nlm.nih.gov/34931749/")</f>
        <v>https://pubmed.ncbi.nlm.nih.gov/34931749/</v>
      </c>
      <c r="F177">
        <v>6.2</v>
      </c>
    </row>
    <row r="178" ht="25.5" customHeight="1" spans="1:6">
      <c r="A178" t="s">
        <v>43</v>
      </c>
      <c r="B178" t="s">
        <v>983</v>
      </c>
      <c r="C178" t="s">
        <v>1396</v>
      </c>
      <c r="D178" t="s">
        <v>1397</v>
      </c>
      <c r="E178" s="2" t="str">
        <f>HYPERLINK("https://pubmed.ncbi.nlm.nih.gov/34961418/","https://pubmed.ncbi.nlm.nih.gov/34961418/")</f>
        <v>https://pubmed.ncbi.nlm.nih.gov/34961418/</v>
      </c>
      <c r="F178">
        <v>5.5</v>
      </c>
    </row>
    <row r="179" ht="25.5" customHeight="1" spans="1:6">
      <c r="A179" t="s">
        <v>84</v>
      </c>
      <c r="B179" t="s">
        <v>1059</v>
      </c>
      <c r="C179" t="s">
        <v>1398</v>
      </c>
      <c r="D179" t="s">
        <v>1399</v>
      </c>
      <c r="E179" s="2" t="str">
        <f>HYPERLINK("https://www.nature.com/articles/s41467-023-43514-6","https://www.nature.com/articles/s41467-023-43514-6")</f>
        <v>https://www.nature.com/articles/s41467-023-43514-6</v>
      </c>
      <c r="F179">
        <v>14.7</v>
      </c>
    </row>
    <row r="180" ht="25.5" customHeight="1" spans="1:6">
      <c r="A180" t="s">
        <v>84</v>
      </c>
      <c r="B180" t="s">
        <v>1136</v>
      </c>
      <c r="C180" t="s">
        <v>1400</v>
      </c>
      <c r="D180" t="s">
        <v>1401</v>
      </c>
      <c r="E180" s="2" t="str">
        <f>HYPERLINK("https://pmc.ncbi.nlm.nih.gov/articles/PMC11176364/#Sec9","https://pmc.ncbi.nlm.nih.gov/articles/PMC11176364/#Sec9")</f>
        <v>https://pmc.ncbi.nlm.nih.gov/articles/PMC11176364/#Sec9</v>
      </c>
      <c r="F180">
        <v>14.7</v>
      </c>
    </row>
    <row r="181" ht="25.5" customHeight="1" spans="1:6">
      <c r="A181" t="s">
        <v>84</v>
      </c>
      <c r="B181" t="s">
        <v>1402</v>
      </c>
      <c r="C181" t="s">
        <v>1403</v>
      </c>
      <c r="D181" t="s">
        <v>1404</v>
      </c>
      <c r="E181" s="2" t="str">
        <f>HYPERLINK("https://pmc.ncbi.nlm.nih.gov/articles/PMC5876407/#Sec9","https://pmc.ncbi.nlm.nih.gov/articles/PMC5876407/#Sec9")</f>
        <v>https://pmc.ncbi.nlm.nih.gov/articles/PMC5876407/#Sec9</v>
      </c>
      <c r="F181">
        <v>14.7</v>
      </c>
    </row>
    <row r="182" ht="25.5" customHeight="1" spans="1:6">
      <c r="A182" t="s">
        <v>84</v>
      </c>
      <c r="B182" t="s">
        <v>1405</v>
      </c>
      <c r="C182" t="s">
        <v>1406</v>
      </c>
      <c r="D182" t="s">
        <v>1407</v>
      </c>
      <c r="E182" s="2" t="str">
        <f>HYPERLINK("https://pubmed.ncbi.nlm.nih.gov/37586364/","https://pubmed.ncbi.nlm.nih.gov/37586364/")</f>
        <v>https://pubmed.ncbi.nlm.nih.gov/37586364/</v>
      </c>
      <c r="F182">
        <v>10.6</v>
      </c>
    </row>
    <row r="183" ht="25.5" customHeight="1" spans="1:6">
      <c r="A183" t="s">
        <v>84</v>
      </c>
      <c r="B183" t="s">
        <v>1408</v>
      </c>
      <c r="C183" t="s">
        <v>1409</v>
      </c>
      <c r="D183" t="s">
        <v>1410</v>
      </c>
      <c r="E183" s="2" t="str">
        <f>HYPERLINK("https://www.nature.com/articles/s43587-024-00758-1#Sec11","https://www.nature.com/articles/s43587-024-00758-1#Sec11")</f>
        <v>https://www.nature.com/articles/s43587-024-00758-1#Sec11</v>
      </c>
      <c r="F183">
        <v>17</v>
      </c>
    </row>
    <row r="184" ht="25.5" customHeight="1" spans="1:6">
      <c r="A184" t="s">
        <v>84</v>
      </c>
      <c r="B184" t="s">
        <v>1411</v>
      </c>
      <c r="C184" t="s">
        <v>1412</v>
      </c>
      <c r="D184" t="s">
        <v>1413</v>
      </c>
      <c r="E184" s="2" t="str">
        <f>HYPERLINK("https://pubmed.ncbi.nlm.nih.gov/36082508/","https://pubmed.ncbi.nlm.nih.gov/36082508/")</f>
        <v>https://pubmed.ncbi.nlm.nih.gov/36082508/</v>
      </c>
      <c r="F184">
        <v>12.9</v>
      </c>
    </row>
    <row r="185" ht="25.5" customHeight="1" spans="1:6">
      <c r="A185" t="s">
        <v>81</v>
      </c>
      <c r="B185" t="s">
        <v>991</v>
      </c>
      <c r="C185" t="s">
        <v>1414</v>
      </c>
      <c r="D185" t="s">
        <v>1415</v>
      </c>
      <c r="E185" s="2" t="str">
        <f>HYPERLINK("https://doi.org/10.1002/ptr.6487","https://doi.org/10.1002/ptr.6487")</f>
        <v>https://doi.org/10.1002/ptr.6487</v>
      </c>
      <c r="F185">
        <v>5.1</v>
      </c>
    </row>
    <row r="186" ht="25.5" customHeight="1" spans="1:6">
      <c r="A186" t="s">
        <v>81</v>
      </c>
      <c r="B186" t="s">
        <v>1136</v>
      </c>
      <c r="C186" t="s">
        <v>1416</v>
      </c>
      <c r="D186" t="s">
        <v>1417</v>
      </c>
      <c r="E186" s="2" t="str">
        <f>HYPERLINK("https://doi.org/10.1016/j.jdent.2024.104876","https://doi.org/10.1016/j.jdent.2024.104876")</f>
        <v>https://doi.org/10.1016/j.jdent.2024.104876</v>
      </c>
      <c r="F186">
        <v>5</v>
      </c>
    </row>
    <row r="187" ht="25.5" customHeight="1" spans="1:6">
      <c r="A187" t="s">
        <v>81</v>
      </c>
      <c r="B187" t="s">
        <v>1418</v>
      </c>
      <c r="C187" t="s">
        <v>1419</v>
      </c>
      <c r="D187" t="s">
        <v>1420</v>
      </c>
      <c r="E187" s="2" t="str">
        <f>HYPERLINK("https://doi.org/10.1017/s0007114515003037","https://doi.org/10.1017/s0007114515003037")</f>
        <v>https://doi.org/10.1017/s0007114515003037</v>
      </c>
      <c r="F187">
        <v>4.3</v>
      </c>
    </row>
    <row r="188" ht="25.5" customHeight="1" spans="1:6">
      <c r="A188" t="s">
        <v>86</v>
      </c>
      <c r="B188" t="s">
        <v>1421</v>
      </c>
      <c r="C188" t="s">
        <v>1422</v>
      </c>
      <c r="D188" t="s">
        <v>1423</v>
      </c>
      <c r="E188" s="2" t="str">
        <f>HYPERLINK("https://www.sciencedirect.com/science/article/pii/S128645790600058X","https://www.sciencedirect.com/science/article/pii/S128645790600058X")</f>
        <v>https://www.sciencedirect.com/science/article/pii/S128645790600058X</v>
      </c>
      <c r="F188">
        <v>5</v>
      </c>
    </row>
    <row r="189" ht="25.5" customHeight="1" spans="1:6">
      <c r="A189" t="s">
        <v>86</v>
      </c>
      <c r="B189" t="s">
        <v>1017</v>
      </c>
      <c r="C189" t="s">
        <v>1424</v>
      </c>
      <c r="D189" t="s">
        <v>1425</v>
      </c>
      <c r="E189" s="2" t="str">
        <f>HYPERLINK("https://www.nature.com/articles/srep37437","https://www.nature.com/articles/srep37437")</f>
        <v>https://www.nature.com/articles/srep37437</v>
      </c>
      <c r="F189">
        <v>4</v>
      </c>
    </row>
    <row r="190" ht="25.5" customHeight="1" spans="1:6">
      <c r="A190" t="s">
        <v>1066</v>
      </c>
      <c r="B190" t="s">
        <v>1426</v>
      </c>
      <c r="C190" t="s">
        <v>1427</v>
      </c>
      <c r="D190" t="s">
        <v>1428</v>
      </c>
      <c r="E190" s="2" t="str">
        <f>HYPERLINK("https://www.sciencedirect.com/science/article/pii/S2666379122001586?via%3Dihub","https://www.sciencedirect.com/science/article/pii/S2666379122001586?via%3Dihub")</f>
        <v>https://www.sciencedirect.com/science/article/pii/S2666379122001586?via%3Dihub</v>
      </c>
      <c r="F190">
        <v>7.8</v>
      </c>
    </row>
    <row r="191" ht="25.5" customHeight="1" spans="1:6">
      <c r="A191" t="s">
        <v>1066</v>
      </c>
      <c r="B191" t="s">
        <v>1136</v>
      </c>
      <c r="C191" t="s">
        <v>1429</v>
      </c>
      <c r="D191" t="s">
        <v>1430</v>
      </c>
      <c r="E191" s="2" t="str">
        <f>HYPERLINK("https://www.nature.com/articles/s41430-021-00950-1","https://www.nature.com/articles/s41430-021-00950-1")</f>
        <v>https://www.nature.com/articles/s41430-021-00950-1</v>
      </c>
      <c r="F191">
        <v>4</v>
      </c>
    </row>
    <row r="192" ht="25.5" customHeight="1" spans="1:6">
      <c r="A192" t="s">
        <v>1070</v>
      </c>
      <c r="B192" t="s">
        <v>1067</v>
      </c>
      <c r="C192" t="s">
        <v>1431</v>
      </c>
      <c r="D192" t="s">
        <v>1432</v>
      </c>
      <c r="E192" s="2" t="str">
        <f>HYPERLINK("https://pmc.ncbi.nlm.nih.gov/articles/PMC7566440/#s1","https://pmc.ncbi.nlm.nih.gov/articles/PMC7566440/#s1")</f>
        <v>https://pmc.ncbi.nlm.nih.gov/articles/PMC7566440/#s1</v>
      </c>
      <c r="F192">
        <v>4.8</v>
      </c>
    </row>
    <row r="193" ht="25.5" customHeight="1" spans="1:6">
      <c r="A193" t="s">
        <v>1070</v>
      </c>
      <c r="B193" t="s">
        <v>1433</v>
      </c>
      <c r="C193" t="s">
        <v>1434</v>
      </c>
      <c r="D193" t="s">
        <v>1435</v>
      </c>
      <c r="E193" s="2" t="str">
        <f>HYPERLINK("https://pubmed.ncbi.nlm.nih.gov/29722846/","https://pubmed.ncbi.nlm.nih.gov/29722846/")</f>
        <v>https://pubmed.ncbi.nlm.nih.gov/29722846/</v>
      </c>
      <c r="F193">
        <v>7.1</v>
      </c>
    </row>
    <row r="194" ht="25.5" customHeight="1" spans="1:6">
      <c r="A194" t="s">
        <v>97</v>
      </c>
      <c r="B194" t="s">
        <v>1436</v>
      </c>
      <c r="C194" t="s">
        <v>1437</v>
      </c>
      <c r="D194" t="s">
        <v>1438</v>
      </c>
      <c r="E194" s="2" t="str">
        <f>HYPERLINK("https://pubmed.ncbi.nlm.nih.gov/19490606/","https://pubmed.ncbi.nlm.nih.gov/19490606/")</f>
        <v>https://pubmed.ncbi.nlm.nih.gov/19490606/</v>
      </c>
      <c r="F194">
        <v>3.9</v>
      </c>
    </row>
    <row r="195" ht="25.5" customHeight="1" spans="1:6">
      <c r="A195" t="s">
        <v>97</v>
      </c>
      <c r="B195" t="s">
        <v>1439</v>
      </c>
      <c r="C195" t="s">
        <v>1440</v>
      </c>
      <c r="D195" t="s">
        <v>1441</v>
      </c>
      <c r="E195" s="2" t="str">
        <f>HYPERLINK("https://pubmed.ncbi.nlm.nih.gov/32599716/","https://pubmed.ncbi.nlm.nih.gov/32599716/")</f>
        <v>https://pubmed.ncbi.nlm.nih.gov/32599716/</v>
      </c>
      <c r="F195">
        <v>5</v>
      </c>
    </row>
    <row r="196" ht="25.5" customHeight="1" spans="1:6">
      <c r="A196" t="s">
        <v>97</v>
      </c>
      <c r="B196" t="s">
        <v>1442</v>
      </c>
      <c r="C196" t="s">
        <v>1443</v>
      </c>
      <c r="D196" t="s">
        <v>1444</v>
      </c>
      <c r="E196" s="2" t="str">
        <f>HYPERLINK("https://pubmed.ncbi.nlm.nih.gov/16416332/","https://pubmed.ncbi.nlm.nih.gov/16416332/")</f>
        <v>https://pubmed.ncbi.nlm.nih.gov/16416332/</v>
      </c>
      <c r="F196">
        <v>3.2</v>
      </c>
    </row>
    <row r="197" ht="25.5" customHeight="1" spans="1:6">
      <c r="A197" t="s">
        <v>97</v>
      </c>
      <c r="B197" t="s">
        <v>1445</v>
      </c>
      <c r="C197" t="s">
        <v>1446</v>
      </c>
      <c r="D197" t="s">
        <v>1447</v>
      </c>
      <c r="E197" s="2" t="str">
        <f>HYPERLINK("https://pubmed.ncbi.nlm.nih.gov/22864465/","https://pubmed.ncbi.nlm.nih.gov/22864465/")</f>
        <v>https://pubmed.ncbi.nlm.nih.gov/22864465/</v>
      </c>
      <c r="F197">
        <v>14.7</v>
      </c>
    </row>
    <row r="198" ht="25.5" customHeight="1" spans="1:6">
      <c r="A198" t="s">
        <v>1093</v>
      </c>
      <c r="B198" t="s">
        <v>994</v>
      </c>
      <c r="C198" t="s">
        <v>1448</v>
      </c>
      <c r="D198" t="s">
        <v>1449</v>
      </c>
      <c r="E198" s="2" t="str">
        <f>HYPERLINK("https://doi.org/10.1056/NEJMoa1812792","https://doi.org/10.1056/NEJMoa1812792")</f>
        <v>https://doi.org/10.1056/NEJMoa1812792</v>
      </c>
      <c r="F198">
        <v>78.5</v>
      </c>
    </row>
    <row r="199" ht="25.5" customHeight="1" spans="1:6">
      <c r="A199" t="s">
        <v>1093</v>
      </c>
      <c r="B199" t="s">
        <v>975</v>
      </c>
      <c r="C199" t="s">
        <v>1450</v>
      </c>
      <c r="D199" t="s">
        <v>1451</v>
      </c>
      <c r="E199" s="2" t="str">
        <f>HYPERLINK("https://doi.org/10.1161/CIRCULATIONAHA.123.065520","https://doi.org/10.1161/CIRCULATIONAHA.123.065520")</f>
        <v>https://doi.org/10.1161/CIRCULATIONAHA.123.065520</v>
      </c>
      <c r="F199">
        <v>39.9</v>
      </c>
    </row>
    <row r="200" ht="25.5" customHeight="1" spans="1:6">
      <c r="A200" t="s">
        <v>1093</v>
      </c>
      <c r="B200" t="s">
        <v>975</v>
      </c>
      <c r="C200" t="s">
        <v>1452</v>
      </c>
      <c r="D200" t="s">
        <v>1453</v>
      </c>
      <c r="E200" s="2" t="str">
        <f>HYPERLINK("https://www.ahajournals.org/doi/10.1161/CIRCULATIONAHA.123.065520?url_ver=Z39.88-2003&amp;rfr_id=ori:rid:crossref.org&amp;rfr_dat=cr_pub%20%200pubmed","https://www.ahajournals.org/doi/10.1161/CIRCULATIONAHA.123.065520?url_ver=Z39.88-2003&amp;rfr_id=ori:rid:crossref.org&amp;rfr_dat=cr_pub%20%200pubmed")</f>
        <v>https://www.ahajournals.org/doi/10.1161/CIRCULATIONAHA.123.065520?url_ver=Z39.88-2003&amp;rfr_id=ori:rid:crossref.org&amp;rfr_dat=cr_pub%20%200pubmed</v>
      </c>
      <c r="F200">
        <v>38.7</v>
      </c>
    </row>
    <row r="201" ht="25.5" customHeight="1" spans="1:6">
      <c r="A201" t="s">
        <v>1090</v>
      </c>
      <c r="B201" t="s">
        <v>1129</v>
      </c>
      <c r="C201" t="s">
        <v>1454</v>
      </c>
      <c r="D201" t="s">
        <v>1455</v>
      </c>
      <c r="E201" s="2" t="str">
        <f>HYPERLINK("https://doi.org/10.3389/fnut.2024.1293909","https://doi.org/10.3389/fnut.2024.1293909")</f>
        <v>https://doi.org/10.3389/fnut.2024.1293909</v>
      </c>
      <c r="F201">
        <v>3</v>
      </c>
    </row>
    <row r="202" ht="25.5" customHeight="1" spans="1:6">
      <c r="A202" t="s">
        <v>1090</v>
      </c>
      <c r="B202" t="s">
        <v>994</v>
      </c>
      <c r="C202" t="s">
        <v>1456</v>
      </c>
      <c r="D202" t="s">
        <v>1457</v>
      </c>
      <c r="E202" s="2" t="str">
        <f>HYPERLINK("https://doi.org/10.3390/nu12061869","https://doi.org/10.3390/nu12061869")</f>
        <v>https://doi.org/10.3390/nu12061869</v>
      </c>
      <c r="F202">
        <v>3.9</v>
      </c>
    </row>
    <row r="203" ht="25.5" customHeight="1" spans="1:6">
      <c r="A203" t="s">
        <v>1458</v>
      </c>
      <c r="B203" t="s">
        <v>1023</v>
      </c>
      <c r="C203" t="s">
        <v>1459</v>
      </c>
      <c r="D203" t="s">
        <v>1460</v>
      </c>
      <c r="E203" s="2" t="str">
        <f>HYPERLINK("https://doi.org/10.3748/wjg.15.3261","https://doi.org/10.3748/wjg.15.3261")</f>
        <v>https://doi.org/10.3748/wjg.15.3261</v>
      </c>
      <c r="F203">
        <v>5.4</v>
      </c>
    </row>
    <row r="204" ht="25.5" customHeight="1" spans="1:6">
      <c r="A204" t="s">
        <v>1461</v>
      </c>
      <c r="B204" t="s">
        <v>1462</v>
      </c>
      <c r="C204" t="s">
        <v>1463</v>
      </c>
      <c r="D204" t="s">
        <v>1464</v>
      </c>
      <c r="E204" s="2" t="str">
        <f>HYPERLINK("https://pubmed.ncbi.nlm.nih.gov/23949208/","https://pubmed.ncbi.nlm.nih.gov/23949208/")</f>
        <v>https://pubmed.ncbi.nlm.nih.gov/23949208/</v>
      </c>
      <c r="F204">
        <v>3.2</v>
      </c>
    </row>
    <row r="205" ht="25.5" customHeight="1" spans="1:6">
      <c r="A205" t="s">
        <v>911</v>
      </c>
      <c r="B205" t="s">
        <v>1465</v>
      </c>
      <c r="C205" t="s">
        <v>1466</v>
      </c>
      <c r="D205" t="s">
        <v>1467</v>
      </c>
      <c r="E205" s="2" t="str">
        <f>HYPERLINK("https://doi.org/10.1136/gut.51.1.51","https://doi.org/10.1136/gut.51.1.51")</f>
        <v>https://doi.org/10.1136/gut.51.1.51</v>
      </c>
      <c r="F205">
        <v>26.2</v>
      </c>
    </row>
    <row r="206" ht="25.5" customHeight="1" spans="1:6">
      <c r="A206" t="s">
        <v>911</v>
      </c>
      <c r="B206" t="s">
        <v>1468</v>
      </c>
      <c r="C206" t="s">
        <v>1469</v>
      </c>
      <c r="D206" t="s">
        <v>1470</v>
      </c>
      <c r="E206" s="2" t="str">
        <f>HYPERLINK("https://doi.org/10.1038/s41467-018-03157-4","https://doi.org/10.1038/s41467-018-03157-4")</f>
        <v>https://doi.org/10.1038/s41467-018-03157-4</v>
      </c>
      <c r="F206">
        <v>15.7</v>
      </c>
    </row>
    <row r="207" ht="25.5" customHeight="1" spans="1:6">
      <c r="A207" t="s">
        <v>911</v>
      </c>
      <c r="B207" t="s">
        <v>1023</v>
      </c>
      <c r="C207" t="s">
        <v>1471</v>
      </c>
      <c r="D207" t="s">
        <v>1472</v>
      </c>
      <c r="E207" s="2" t="str">
        <f>HYPERLINK("https://doi.org/10.1016/j.jaci.2016.10.050","https://doi.org/10.1016/j.jaci.2016.10.050")</f>
        <v>https://doi.org/10.1016/j.jaci.2016.10.050</v>
      </c>
      <c r="F207">
        <v>11.2</v>
      </c>
    </row>
    <row r="208" ht="25.5" customHeight="1" spans="1:6">
      <c r="A208" t="s">
        <v>90</v>
      </c>
      <c r="B208" t="s">
        <v>1282</v>
      </c>
      <c r="C208" t="s">
        <v>1473</v>
      </c>
      <c r="D208" t="s">
        <v>1474</v>
      </c>
      <c r="E208" s="2" t="str">
        <f>HYPERLINK("https://doi.org/10.1111/all.15997","https://doi.org/10.1111/all.15997")</f>
        <v>https://doi.org/10.1111/all.15997</v>
      </c>
      <c r="F208">
        <v>12</v>
      </c>
    </row>
    <row r="209" ht="25.5" customHeight="1" spans="1:6">
      <c r="A209" t="s">
        <v>90</v>
      </c>
      <c r="B209" t="s">
        <v>1124</v>
      </c>
      <c r="C209" t="s">
        <v>1475</v>
      </c>
      <c r="D209" t="s">
        <v>1476</v>
      </c>
      <c r="E209" s="2" t="str">
        <f>HYPERLINK("https://doi.org/10.1542/peds.2024-068146","https://doi.org/10.1542/peds.2024-068146")</f>
        <v>https://doi.org/10.1542/peds.2024-068146</v>
      </c>
      <c r="F209">
        <v>8</v>
      </c>
    </row>
    <row r="210" ht="25.5" customHeight="1" spans="1:6">
      <c r="A210" t="s">
        <v>90</v>
      </c>
      <c r="B210" t="s">
        <v>1023</v>
      </c>
      <c r="C210" t="s">
        <v>1477</v>
      </c>
      <c r="D210" t="s">
        <v>1478</v>
      </c>
      <c r="E210" s="2" t="str">
        <f>HYPERLINK("https://doi.org/10.3390/biom14060718","https://doi.org/10.3390/biom14060718")</f>
        <v>https://doi.org/10.3390/biom14060718</v>
      </c>
      <c r="F210">
        <v>6.3</v>
      </c>
    </row>
    <row r="211" ht="25.5" customHeight="1" spans="1:6">
      <c r="A211" t="s">
        <v>1289</v>
      </c>
      <c r="B211" t="s">
        <v>1136</v>
      </c>
      <c r="C211" t="s">
        <v>1479</v>
      </c>
      <c r="D211" t="s">
        <v>1480</v>
      </c>
      <c r="E211" s="2" t="str">
        <f>HYPERLINK("https://doi.org/10.1007/s40279-022-01640-z","https://doi.org/10.1007/s40279-022-01640-z")</f>
        <v>https://doi.org/10.1007/s40279-022-01640-z</v>
      </c>
      <c r="F211">
        <v>9.4</v>
      </c>
    </row>
    <row r="212" ht="25.5" customHeight="1" spans="1:6">
      <c r="A212" t="s">
        <v>1289</v>
      </c>
      <c r="B212" t="s">
        <v>1136</v>
      </c>
      <c r="C212" t="s">
        <v>1481</v>
      </c>
      <c r="D212" t="s">
        <v>1482</v>
      </c>
      <c r="E212" s="2" t="str">
        <f>HYPERLINK("https://doi.org/10.1080/10408398.2021.2007470","https://doi.org/10.1080/10408398.2021.2007470")</f>
        <v>https://doi.org/10.1080/10408398.2021.2007470</v>
      </c>
      <c r="F212">
        <v>8.8</v>
      </c>
    </row>
    <row r="213" ht="25.5" customHeight="1" spans="1:6">
      <c r="A213" t="s">
        <v>1289</v>
      </c>
      <c r="B213" t="s">
        <v>991</v>
      </c>
      <c r="C213" t="s">
        <v>1483</v>
      </c>
      <c r="D213" t="s">
        <v>1484</v>
      </c>
      <c r="E213" s="2" t="str">
        <f>HYPERLINK("https://doi.org/10.1186/s12916-023-03146-5","https://doi.org/10.1186/s12916-023-03146-5")</f>
        <v>https://doi.org/10.1186/s12916-023-03146-5</v>
      </c>
    </row>
    <row r="214" ht="25.5" customHeight="1" spans="1:6">
      <c r="E214" s="2"/>
    </row>
    <row r="215" ht="25.5" customHeight="1" spans="1:6">
      <c r="A215" t="s">
        <v>1458</v>
      </c>
      <c r="B215" t="s">
        <v>1023</v>
      </c>
      <c r="C215" t="s">
        <v>1485</v>
      </c>
      <c r="D215" t="s">
        <v>1486</v>
      </c>
      <c r="E215" s="2" t="str">
        <f>HYPERLINK("https://doi.org/10.1542/peds.2008-2666","https://doi.org/10.1542/peds.2008-2666")</f>
        <v>https://doi.org/10.1542/peds.2008-2666</v>
      </c>
      <c r="F215">
        <v>6.4</v>
      </c>
    </row>
    <row r="216" ht="25.5" customHeight="1" spans="1:6">
      <c r="A216" t="s">
        <v>1458</v>
      </c>
      <c r="B216" t="s">
        <v>1023</v>
      </c>
      <c r="C216" t="s">
        <v>1487</v>
      </c>
      <c r="D216" t="s">
        <v>1488</v>
      </c>
      <c r="E216" s="2" t="str">
        <f>HYPERLINK("https://doi.org/10.1016/j.clnu.2013.10.002","https://doi.org/10.1016/j.clnu.2013.10.002")</f>
        <v>https://doi.org/10.1016/j.clnu.2013.10.002</v>
      </c>
      <c r="F216">
        <v>7.4</v>
      </c>
    </row>
    <row r="217" ht="25.5" customHeight="1" spans="1:6">
      <c r="A217" t="s">
        <v>1458</v>
      </c>
      <c r="B217" t="s">
        <v>1023</v>
      </c>
      <c r="C217" t="s">
        <v>1489</v>
      </c>
      <c r="D217" t="s">
        <v>1490</v>
      </c>
      <c r="E217" s="2" t="str">
        <f>HYPERLINK("https://doi.org/10.1093/ajcn/74.6.833","https://doi.org/10.1093/ajcn/74.6.833")</f>
        <v>https://doi.org/10.1093/ajcn/74.6.833</v>
      </c>
      <c r="F217">
        <v>6.9</v>
      </c>
    </row>
    <row r="218" ht="25.5" customHeight="1" spans="1:6">
      <c r="E218" s="2"/>
    </row>
    <row r="219" ht="25.5" customHeight="1" spans="1:6">
      <c r="B219" t="s">
        <v>1218</v>
      </c>
      <c r="C219" t="s">
        <v>1219</v>
      </c>
      <c r="D219" t="s">
        <v>1220</v>
      </c>
      <c r="E219" s="2" t="str">
        <f>HYPERLINK("https://doi.org/10.1542/peds.2020-009985","https://doi.org/10.1542/peds.2020-009985")</f>
        <v>https://doi.org/10.1542/peds.2020-009985</v>
      </c>
      <c r="F219">
        <v>6.2</v>
      </c>
    </row>
    <row r="220" ht="25.5" customHeight="1" spans="1:6">
      <c r="A220" t="s">
        <v>94</v>
      </c>
      <c r="B220" t="s">
        <v>997</v>
      </c>
      <c r="C220" t="s">
        <v>1221</v>
      </c>
      <c r="D220" t="s">
        <v>1222</v>
      </c>
      <c r="E220" s="2" t="str">
        <f>HYPERLINK("https://doi.org/10.1021/acs.jafc.2c05469","https://doi.org/10.1021/acs.jafc.2c05469")</f>
        <v>https://doi.org/10.1021/acs.jafc.2c05469</v>
      </c>
      <c r="F220">
        <v>5.7</v>
      </c>
    </row>
    <row r="221" ht="25.5" customHeight="1" spans="1:6">
      <c r="A221" t="s">
        <v>94</v>
      </c>
      <c r="B221" t="s">
        <v>1071</v>
      </c>
      <c r="C221" t="s">
        <v>1223</v>
      </c>
      <c r="D221" t="s">
        <v>1224</v>
      </c>
      <c r="E221" s="2" t="str">
        <f>HYPERLINK("https://doi.org/10.1002/jbmr.4709","https://doi.org/10.1002/jbmr.4709")</f>
        <v>https://doi.org/10.1002/jbmr.4709</v>
      </c>
      <c r="F221">
        <v>5.1</v>
      </c>
    </row>
    <row r="222" ht="25.5" customHeight="1" spans="1:6">
      <c r="A222" t="s">
        <v>94</v>
      </c>
      <c r="B222" t="s">
        <v>1225</v>
      </c>
      <c r="C222" t="s">
        <v>1226</v>
      </c>
      <c r="D222" t="s">
        <v>1227</v>
      </c>
      <c r="E222" s="2" t="str">
        <f>HYPERLINK("https://doi.org/10.1111/ceo.13818","https://doi.org/10.1111/ceo.13818")</f>
        <v>https://doi.org/10.1111/ceo.13818</v>
      </c>
      <c r="F222">
        <v>5</v>
      </c>
    </row>
    <row r="223" ht="25.5" customHeight="1" spans="1:6">
      <c r="E223" s="2"/>
    </row>
    <row r="224" ht="25.5" customHeight="1" spans="1:6">
      <c r="B224" t="s">
        <v>991</v>
      </c>
      <c r="C224" t="s">
        <v>1230</v>
      </c>
      <c r="D224" t="s">
        <v>1231</v>
      </c>
      <c r="E224" s="2" t="str">
        <f>HYPERLINK("https://doi.org/10.1016/j.ajog.2021.06.069","https://doi.org/10.1016/j.ajog.2021.06.069")</f>
        <v>https://doi.org/10.1016/j.ajog.2021.06.069</v>
      </c>
      <c r="F224">
        <v>6.5</v>
      </c>
    </row>
    <row r="225" ht="25.5" customHeight="1" spans="1:6">
      <c r="A225" t="s">
        <v>94</v>
      </c>
      <c r="B225" t="s">
        <v>1232</v>
      </c>
      <c r="C225" t="s">
        <v>1233</v>
      </c>
      <c r="D225" t="s">
        <v>1234</v>
      </c>
      <c r="E225" s="2" t="str">
        <f>HYPERLINK("https://doi.org/10.1007/s13311-018-0662-z","10.1007/s13311-018-0662-z")</f>
        <v>10.1007/s13311-018-0662-z</v>
      </c>
      <c r="F225">
        <v>5.6</v>
      </c>
    </row>
    <row r="226" ht="25.5" customHeight="1" spans="1:6">
      <c r="B226" t="s">
        <v>1017</v>
      </c>
      <c r="C226" t="s">
        <v>1216</v>
      </c>
      <c r="D226" t="s">
        <v>1217</v>
      </c>
      <c r="E226" s="2" t="str">
        <f>HYPERLINK("https://doi.org/10.1016/j.ajcnut.2023.07.023","https://doi.org/10.1016/j.ajcnut.2023.07.023")</f>
        <v>https://doi.org/10.1016/j.ajcnut.2023.07.023</v>
      </c>
      <c r="F226">
        <v>6.5</v>
      </c>
    </row>
    <row r="227" ht="25.5" customHeight="1" spans="1:6">
      <c r="B227" t="s">
        <v>1218</v>
      </c>
      <c r="C227" t="s">
        <v>1219</v>
      </c>
      <c r="D227" t="s">
        <v>1220</v>
      </c>
      <c r="E227" s="2" t="str">
        <f>HYPERLINK("https://doi.org/10.1542/peds.2020-009985","https://doi.org/10.1542/peds.2020-009985")</f>
        <v>https://doi.org/10.1542/peds.2020-009985</v>
      </c>
      <c r="F227">
        <v>6.2</v>
      </c>
    </row>
    <row r="228" ht="25.5" customHeight="1" spans="1:6">
      <c r="A228" t="s">
        <v>93</v>
      </c>
      <c r="B228" t="s">
        <v>997</v>
      </c>
      <c r="C228" t="s">
        <v>1221</v>
      </c>
      <c r="D228" t="s">
        <v>1222</v>
      </c>
      <c r="E228" s="2" t="str">
        <f>HYPERLINK("https://doi.org/10.1021/acs.jafc.2c05469","https://doi.org/10.1021/acs.jafc.2c05469")</f>
        <v>https://doi.org/10.1021/acs.jafc.2c05469</v>
      </c>
      <c r="F228">
        <v>5.7</v>
      </c>
    </row>
    <row r="229" ht="25.5" customHeight="1" spans="1:6">
      <c r="A229" t="s">
        <v>93</v>
      </c>
      <c r="B229" t="s">
        <v>1071</v>
      </c>
      <c r="C229" t="s">
        <v>1223</v>
      </c>
      <c r="D229" t="s">
        <v>1224</v>
      </c>
      <c r="E229" s="2" t="str">
        <f>HYPERLINK("https://doi.org/10.1002/jbmr.4709","https://doi.org/10.1002/jbmr.4709")</f>
        <v>https://doi.org/10.1002/jbmr.4709</v>
      </c>
      <c r="F229">
        <v>5.1</v>
      </c>
    </row>
    <row r="230" ht="25.5" customHeight="1" spans="1:6">
      <c r="A230" t="s">
        <v>93</v>
      </c>
      <c r="B230" t="s">
        <v>1225</v>
      </c>
      <c r="C230" t="s">
        <v>1226</v>
      </c>
      <c r="D230" t="s">
        <v>1227</v>
      </c>
      <c r="E230" s="2" t="str">
        <f>HYPERLINK("https://doi.org/10.1111/ceo.13818","https://doi.org/10.1111/ceo.13818")</f>
        <v>https://doi.org/10.1111/ceo.13818</v>
      </c>
      <c r="F230">
        <v>5</v>
      </c>
    </row>
    <row r="231" ht="25.5" customHeight="1" spans="1:6">
      <c r="B231" t="s">
        <v>1218</v>
      </c>
      <c r="C231" t="s">
        <v>1228</v>
      </c>
      <c r="D231" t="s">
        <v>1229</v>
      </c>
      <c r="E231" s="2" t="str">
        <f>HYPERLINK("https://www.nejm.org/doi/full/10.1056/NEJMoa2307212","https://www.nejm.org/doi/full/10.1056/NEJMoa2307212")</f>
        <v>https://www.nejm.org/doi/full/10.1056/NEJMoa2307212</v>
      </c>
      <c r="F231">
        <v>91.2</v>
      </c>
    </row>
    <row r="232" ht="25.5" customHeight="1" spans="1:6">
      <c r="A232" t="s">
        <v>93</v>
      </c>
      <c r="B232" t="s">
        <v>991</v>
      </c>
      <c r="C232" t="s">
        <v>1230</v>
      </c>
      <c r="D232" t="s">
        <v>1231</v>
      </c>
      <c r="E232" s="2" t="str">
        <f>HYPERLINK("https://doi.org/10.1016/j.ajog.2021.06.069","https://doi.org/10.1016/j.ajog.2021.06.069")</f>
        <v>https://doi.org/10.1016/j.ajog.2021.06.069</v>
      </c>
      <c r="F232">
        <v>6.5</v>
      </c>
    </row>
    <row r="233" ht="25.5" customHeight="1" spans="1:6">
      <c r="A233" t="s">
        <v>93</v>
      </c>
      <c r="B233" t="s">
        <v>1232</v>
      </c>
      <c r="C233" t="s">
        <v>1233</v>
      </c>
      <c r="D233" t="s">
        <v>1234</v>
      </c>
      <c r="E233" s="2" t="str">
        <f>HYPERLINK("https://doi.org/10.1007/s13311-018-0662-z","10.1007/s13311-018-0662-z")</f>
        <v>10.1007/s13311-018-0662-z</v>
      </c>
      <c r="F233">
        <v>5.6</v>
      </c>
    </row>
    <row r="234" ht="25.5" customHeight="1" spans="1:6">
      <c r="E234" s="2"/>
    </row>
    <row r="235" ht="25.5" customHeight="1" spans="1:6">
      <c r="E235" s="2"/>
    </row>
    <row r="236" ht="25.5" customHeight="1" spans="1:6">
      <c r="A236" t="s">
        <v>946</v>
      </c>
      <c r="B236" t="s">
        <v>994</v>
      </c>
      <c r="C236" t="s">
        <v>1380</v>
      </c>
      <c r="D236" t="s">
        <v>1381</v>
      </c>
      <c r="E236" s="2" t="str">
        <f>HYPERLINK("https://onlinelibrary.wiley.com/doi/10.1002/ana.22189","https://onlinelibrary.wiley.com/doi/10.1002/ana.22189")</f>
        <v>https://onlinelibrary.wiley.com/doi/10.1002/ana.22189</v>
      </c>
      <c r="F236">
        <v>8.9</v>
      </c>
    </row>
    <row r="237" ht="25.5" customHeight="1" spans="1:6">
      <c r="A237" t="s">
        <v>946</v>
      </c>
      <c r="B237" t="s">
        <v>1042</v>
      </c>
      <c r="C237" t="s">
        <v>1382</v>
      </c>
      <c r="D237" t="s">
        <v>1383</v>
      </c>
      <c r="E237" s="2" t="str">
        <f>HYPERLINK("https://pmc.ncbi.nlm.nih.gov/articles/PMC6316433/","https://pmc.ncbi.nlm.nih.gov/articles/PMC6316433/")</f>
        <v>https://pmc.ncbi.nlm.nih.gov/articles/PMC6316433/</v>
      </c>
      <c r="F237">
        <v>6</v>
      </c>
    </row>
    <row r="238" ht="25.5" customHeight="1" spans="1:6">
      <c r="A238" t="s">
        <v>946</v>
      </c>
      <c r="B238" t="s">
        <v>1158</v>
      </c>
      <c r="C238" t="s">
        <v>1384</v>
      </c>
      <c r="D238" t="s">
        <v>1385</v>
      </c>
      <c r="E238" s="2" t="str">
        <f>HYPERLINK("https://pmc.ncbi.nlm.nih.gov/articles/PMC11173557/#abstract1","https://pmc.ncbi.nlm.nih.gov/articles/PMC11173557/#abstract1")</f>
        <v>https://pmc.ncbi.nlm.nih.gov/articles/PMC11173557/#abstract1</v>
      </c>
      <c r="F238">
        <v>6</v>
      </c>
    </row>
    <row r="239" ht="25.5" customHeight="1" spans="1:6">
      <c r="E239" s="2"/>
    </row>
    <row r="240" ht="25.5" customHeight="1" spans="1:6">
      <c r="E240" s="2"/>
    </row>
    <row r="241" ht="25.5" customHeight="1" spans="1:6">
      <c r="A241" t="s">
        <v>946</v>
      </c>
      <c r="B241" t="s">
        <v>1218</v>
      </c>
      <c r="C241" t="s">
        <v>1386</v>
      </c>
      <c r="D241" t="s">
        <v>1387</v>
      </c>
      <c r="E241" s="2" t="str">
        <f>HYPERLINK("https://pmc.ncbi.nlm.nih.gov/articles/PMC9504679/#sec4-nutrients-14-03750","https://pmc.ncbi.nlm.nih.gov/articles/PMC9504679/#sec4-nutrients-14-03750")</f>
        <v>https://pmc.ncbi.nlm.nih.gov/articles/PMC9504679/#sec4-nutrients-14-03750</v>
      </c>
      <c r="F241">
        <v>6</v>
      </c>
    </row>
    <row r="242" ht="25.5" customHeight="1" spans="1:6">
      <c r="A242" t="s">
        <v>99</v>
      </c>
      <c r="B242" t="s">
        <v>1051</v>
      </c>
      <c r="C242" t="s">
        <v>1491</v>
      </c>
      <c r="D242" t="s">
        <v>1492</v>
      </c>
      <c r="E242" s="2" t="str">
        <f>HYPERLINK("https://pubmed.ncbi.nlm.nih.gov/32354152/","https://pubmed.ncbi.nlm.nih.gov/32354152/")</f>
        <v>https://pubmed.ncbi.nlm.nih.gov/32354152/</v>
      </c>
      <c r="F242">
        <v>5</v>
      </c>
    </row>
    <row r="243" ht="25.5" customHeight="1" spans="1:6">
      <c r="A243" t="s">
        <v>99</v>
      </c>
      <c r="B243" t="s">
        <v>1493</v>
      </c>
      <c r="C243" t="s">
        <v>1494</v>
      </c>
      <c r="D243" t="s">
        <v>1495</v>
      </c>
      <c r="E243" s="2" t="str">
        <f>HYPERLINK("https://pubmed.ncbi.nlm.nih.gov/31509971/","https://pubmed.ncbi.nlm.nih.gov/31509971/")</f>
        <v>https://pubmed.ncbi.nlm.nih.gov/31509971/</v>
      </c>
      <c r="F243">
        <v>5</v>
      </c>
    </row>
    <row r="244" ht="25.5" customHeight="1" spans="1:6">
      <c r="A244" t="s">
        <v>99</v>
      </c>
      <c r="B244" t="s">
        <v>1496</v>
      </c>
      <c r="C244" t="s">
        <v>1497</v>
      </c>
      <c r="D244" t="s">
        <v>1498</v>
      </c>
      <c r="E244" s="2" t="str">
        <f>HYPERLINK("https://pubmed.ncbi.nlm.nih.gov/35334814/","https://pubmed.ncbi.nlm.nih.gov/35334814/")</f>
        <v>https://pubmed.ncbi.nlm.nih.gov/35334814/</v>
      </c>
      <c r="F244">
        <v>5</v>
      </c>
    </row>
    <row r="245" ht="25.5" customHeight="1" spans="1:6">
      <c r="A245" t="s">
        <v>99</v>
      </c>
      <c r="B245" t="s">
        <v>1051</v>
      </c>
      <c r="C245" t="s">
        <v>1499</v>
      </c>
      <c r="D245" t="s">
        <v>1500</v>
      </c>
      <c r="E245" s="2" t="str">
        <f>HYPERLINK("https://pubmed.ncbi.nlm.nih.gov/23345946/","https://pubmed.ncbi.nlm.nih.gov/23345946/")</f>
        <v>https://pubmed.ncbi.nlm.nih.gov/23345946/</v>
      </c>
      <c r="F245">
        <v>5.4</v>
      </c>
    </row>
    <row r="246" ht="25.5" customHeight="1" spans="1:6">
      <c r="A246" t="s">
        <v>99</v>
      </c>
      <c r="B246" t="s">
        <v>1501</v>
      </c>
      <c r="C246" t="s">
        <v>1502</v>
      </c>
      <c r="D246" t="s">
        <v>1503</v>
      </c>
      <c r="E246" s="2" t="str">
        <f>HYPERLINK("https://pubmed.ncbi.nlm.nih.gov/41374037/","https://pubmed.ncbi.nlm.nih.gov/41374037/")</f>
        <v>https://pubmed.ncbi.nlm.nih.gov/41374037/</v>
      </c>
      <c r="F246">
        <v>5</v>
      </c>
    </row>
    <row r="247" ht="25.5" customHeight="1" spans="1:6">
      <c r="A247" t="s">
        <v>1461</v>
      </c>
      <c r="B247" t="s">
        <v>1462</v>
      </c>
      <c r="C247" t="s">
        <v>1504</v>
      </c>
      <c r="D247" t="s">
        <v>1505</v>
      </c>
      <c r="E247" s="2" t="str">
        <f>HYPERLINK("https://pubmed.ncbi.nlm.nih.gov/24401291/","https://pubmed.ncbi.nlm.nih.gov/24401291/")</f>
        <v>https://pubmed.ncbi.nlm.nih.gov/24401291/</v>
      </c>
      <c r="F247">
        <v>3.2</v>
      </c>
    </row>
    <row r="248" ht="25.5" customHeight="1" spans="1:6">
      <c r="A248" t="s">
        <v>1461</v>
      </c>
      <c r="B248" t="s">
        <v>1506</v>
      </c>
      <c r="C248" t="s">
        <v>1507</v>
      </c>
      <c r="D248" t="s">
        <v>1508</v>
      </c>
      <c r="E248" s="2" t="str">
        <f>HYPERLINK("https://pubmed.ncbi.nlm.nih.gov/28358307/","https://pubmed.ncbi.nlm.nih.gov/28358307/")</f>
        <v>https://pubmed.ncbi.nlm.nih.gov/28358307/</v>
      </c>
      <c r="F248">
        <v>5.4</v>
      </c>
    </row>
    <row r="249" ht="25.5" customHeight="1" spans="1:6">
      <c r="A249" t="s">
        <v>1461</v>
      </c>
      <c r="B249" t="s">
        <v>1509</v>
      </c>
      <c r="C249" t="s">
        <v>1510</v>
      </c>
      <c r="D249" t="s">
        <v>1511</v>
      </c>
      <c r="E249" s="2" t="str">
        <f>HYPERLINK("https://pubmed.ncbi.nlm.nih.gov/22953877/","https://pubmed.ncbi.nlm.nih.gov/22953877/")</f>
        <v>https://pubmed.ncbi.nlm.nih.gov/22953877/</v>
      </c>
      <c r="F249">
        <v>9.8</v>
      </c>
    </row>
    <row r="250" ht="25.5" customHeight="1" spans="1:6">
      <c r="A250" t="s">
        <v>1461</v>
      </c>
      <c r="B250" t="s">
        <v>1512</v>
      </c>
      <c r="C250" t="s">
        <v>1513</v>
      </c>
      <c r="D250" t="s">
        <v>1514</v>
      </c>
      <c r="E250" s="2" t="str">
        <f>HYPERLINK("https://pubmed.ncbi.nlm.nih.gov/30423867/","https://pubmed.ncbi.nlm.nih.gov/30423867/")</f>
        <v>https://pubmed.ncbi.nlm.nih.gov/30423867/</v>
      </c>
      <c r="F250">
        <v>4.9</v>
      </c>
    </row>
    <row r="251" ht="25.5" customHeight="1" spans="1:6">
      <c r="A251" t="s">
        <v>1461</v>
      </c>
      <c r="B251" t="s">
        <v>1509</v>
      </c>
      <c r="C251" t="s">
        <v>1515</v>
      </c>
      <c r="D251" t="s">
        <v>1516</v>
      </c>
      <c r="E251" s="2" t="str">
        <f>HYPERLINK("https://pubmed.ncbi.nlm.nih.gov/33521019/","https://pubmed.ncbi.nlm.nih.gov/33521019/")</f>
        <v>https://pubmed.ncbi.nlm.nih.gov/33521019/</v>
      </c>
      <c r="F251">
        <v>3</v>
      </c>
    </row>
    <row r="252" ht="25.5" customHeight="1" spans="1:6">
      <c r="A252" t="s">
        <v>1461</v>
      </c>
      <c r="B252" t="s">
        <v>1509</v>
      </c>
      <c r="C252" t="s">
        <v>1517</v>
      </c>
      <c r="D252" t="s">
        <v>1518</v>
      </c>
      <c r="E252" s="2" t="str">
        <f>HYPERLINK("https://pubmed.ncbi.nlm.nih.gov/37432180/","https://pubmed.ncbi.nlm.nih.gov/37432180/")</f>
        <v>https://pubmed.ncbi.nlm.nih.gov/37432180/</v>
      </c>
      <c r="F252">
        <v>5</v>
      </c>
    </row>
    <row r="253" ht="25.5" customHeight="1" spans="1:6">
      <c r="A253" t="s">
        <v>1461</v>
      </c>
      <c r="B253" t="s">
        <v>1512</v>
      </c>
      <c r="C253" t="s">
        <v>1519</v>
      </c>
      <c r="D253" t="s">
        <v>1520</v>
      </c>
      <c r="E253" s="2" t="str">
        <f>HYPERLINK("https://pubmed.ncbi.nlm.nih.gov/33742704/","https://pubmed.ncbi.nlm.nih.gov/33742704/")</f>
        <v>https://pubmed.ncbi.nlm.nih.gov/33742704/</v>
      </c>
      <c r="F253">
        <v>3.3</v>
      </c>
    </row>
    <row r="254" ht="25.5" customHeight="1" spans="1:6">
      <c r="A254" t="s">
        <v>1461</v>
      </c>
      <c r="B254" t="s">
        <v>1521</v>
      </c>
      <c r="C254" t="s">
        <v>1522</v>
      </c>
      <c r="D254" t="s">
        <v>1523</v>
      </c>
      <c r="E254" s="2" t="str">
        <f>HYPERLINK("https://pubmed.ncbi.nlm.nih.gov/30681787/","https://pubmed.ncbi.nlm.nih.gov/30681787/")</f>
        <v>https://pubmed.ncbi.nlm.nih.gov/30681787/</v>
      </c>
      <c r="F254">
        <v>1.8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A1" sqref="A1"/>
    </sheetView>
  </sheetViews>
  <sheetFormatPr defaultColWidth="9.64285714285714" defaultRowHeight="16.8" outlineLevelRow="7" outlineLevelCol="3"/>
  <cols>
    <col min="1" max="4" width="19" customWidth="1"/>
  </cols>
  <sheetData>
    <row r="1" ht="13" customHeight="1" spans="1:4">
      <c r="A1" s="1" t="s">
        <v>1524</v>
      </c>
      <c r="B1" s="1" t="s">
        <v>1525</v>
      </c>
      <c r="C1" s="1" t="s">
        <v>108</v>
      </c>
      <c r="D1" s="1" t="s">
        <v>1526</v>
      </c>
    </row>
    <row r="2" ht="25.5" customHeight="1" spans="1:4">
      <c r="A2" t="s">
        <v>1527</v>
      </c>
      <c r="B2" t="s">
        <v>1528</v>
      </c>
      <c r="C2" t="s">
        <v>1529</v>
      </c>
    </row>
    <row r="3" ht="25.5" customHeight="1" spans="1:4">
      <c r="A3" t="s">
        <v>1530</v>
      </c>
      <c r="B3" t="s">
        <v>1531</v>
      </c>
      <c r="C3" t="s">
        <v>1532</v>
      </c>
    </row>
    <row r="4" ht="25.5" customHeight="1" spans="1:4">
      <c r="A4" t="s">
        <v>1533</v>
      </c>
      <c r="B4" t="s">
        <v>1534</v>
      </c>
      <c r="C4" t="s">
        <v>1535</v>
      </c>
    </row>
    <row r="5" ht="25.5" customHeight="1" spans="1:4">
      <c r="A5" t="s">
        <v>1536</v>
      </c>
      <c r="B5" t="s">
        <v>1537</v>
      </c>
      <c r="C5" t="s">
        <v>1538</v>
      </c>
    </row>
    <row r="6" ht="25.5" customHeight="1" spans="1:4">
      <c r="A6" t="s">
        <v>1539</v>
      </c>
      <c r="B6" t="s">
        <v>1537</v>
      </c>
      <c r="C6" t="s">
        <v>1540</v>
      </c>
    </row>
    <row r="7" ht="25.5" customHeight="1" spans="1:4">
      <c r="A7" t="s">
        <v>1541</v>
      </c>
      <c r="B7" t="s">
        <v>1542</v>
      </c>
      <c r="C7" t="s">
        <v>1543</v>
      </c>
      <c r="D7" t="s">
        <v>1544</v>
      </c>
    </row>
    <row r="8" ht="25.5" customHeight="1" spans="1:4">
      <c r="A8" t="s">
        <v>1545</v>
      </c>
      <c r="B8" t="s">
        <v>1542</v>
      </c>
      <c r="C8" t="s">
        <v>1546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0"/>
  <sheetViews>
    <sheetView workbookViewId="0">
      <selection activeCell="A1" sqref="A1"/>
    </sheetView>
  </sheetViews>
  <sheetFormatPr defaultColWidth="9.64285714285714" defaultRowHeight="16.8"/>
  <cols>
    <col min="1" max="11" width="19" customWidth="1"/>
  </cols>
  <sheetData>
    <row r="1" ht="13" customHeight="1" spans="1:11">
      <c r="A1" s="1" t="s">
        <v>1547</v>
      </c>
      <c r="B1" s="1" t="s">
        <v>1548</v>
      </c>
      <c r="C1" s="1" t="s">
        <v>1549</v>
      </c>
      <c r="D1" s="1" t="s">
        <v>1550</v>
      </c>
      <c r="E1" s="1" t="s">
        <v>1551</v>
      </c>
      <c r="F1" s="1" t="s">
        <v>1552</v>
      </c>
      <c r="G1" s="1" t="s">
        <v>1553</v>
      </c>
      <c r="H1" s="1" t="s">
        <v>1554</v>
      </c>
      <c r="I1" s="1" t="s">
        <v>1555</v>
      </c>
      <c r="J1" s="1" t="s">
        <v>1556</v>
      </c>
      <c r="K1" s="1" t="s">
        <v>1557</v>
      </c>
    </row>
    <row r="2" ht="38.25" customHeight="1" spans="1:11">
      <c r="A2" t="s">
        <v>1558</v>
      </c>
      <c r="B2" t="s">
        <v>1559</v>
      </c>
      <c r="C2" t="s">
        <v>1560</v>
      </c>
      <c r="D2" t="s">
        <v>1561</v>
      </c>
      <c r="E2" t="s">
        <v>11</v>
      </c>
      <c r="F2" t="s">
        <v>1562</v>
      </c>
      <c r="G2" t="s">
        <v>1563</v>
      </c>
      <c r="H2" t="s">
        <v>1564</v>
      </c>
      <c r="J2" t="s">
        <v>1565</v>
      </c>
      <c r="K2" t="s">
        <v>1566</v>
      </c>
    </row>
    <row r="3" ht="38.25" customHeight="1" spans="1:11">
      <c r="A3" t="s">
        <v>1558</v>
      </c>
      <c r="B3" t="s">
        <v>1559</v>
      </c>
      <c r="C3" t="s">
        <v>1560</v>
      </c>
      <c r="D3" t="s">
        <v>1561</v>
      </c>
      <c r="E3" t="s">
        <v>33</v>
      </c>
      <c r="H3" t="s">
        <v>1567</v>
      </c>
      <c r="J3" t="s">
        <v>1568</v>
      </c>
      <c r="K3" t="s">
        <v>1566</v>
      </c>
    </row>
    <row r="4" ht="38.25" customHeight="1" spans="1:11">
      <c r="A4" t="s">
        <v>1558</v>
      </c>
      <c r="B4" t="s">
        <v>1559</v>
      </c>
      <c r="C4" t="s">
        <v>1560</v>
      </c>
      <c r="D4" t="s">
        <v>1569</v>
      </c>
      <c r="E4" t="s">
        <v>38</v>
      </c>
      <c r="H4" t="s">
        <v>1570</v>
      </c>
      <c r="J4" t="s">
        <v>1571</v>
      </c>
      <c r="K4" t="s">
        <v>1566</v>
      </c>
    </row>
    <row r="5" ht="38.25" customHeight="1" spans="1:11">
      <c r="A5" t="s">
        <v>1558</v>
      </c>
      <c r="B5" t="s">
        <v>1559</v>
      </c>
      <c r="C5" t="s">
        <v>1560</v>
      </c>
      <c r="D5" t="s">
        <v>1572</v>
      </c>
      <c r="E5" t="s">
        <v>46</v>
      </c>
      <c r="H5" t="s">
        <v>1573</v>
      </c>
      <c r="J5" t="s">
        <v>1574</v>
      </c>
      <c r="K5" t="s">
        <v>1566</v>
      </c>
    </row>
    <row r="6" ht="38.25" customHeight="1" spans="1:11">
      <c r="A6" t="s">
        <v>1558</v>
      </c>
      <c r="B6" t="s">
        <v>1559</v>
      </c>
      <c r="C6" t="s">
        <v>1560</v>
      </c>
      <c r="D6" t="s">
        <v>1575</v>
      </c>
      <c r="E6" t="s">
        <v>39</v>
      </c>
      <c r="H6" t="s">
        <v>1576</v>
      </c>
      <c r="J6" t="s">
        <v>1577</v>
      </c>
      <c r="K6" t="s">
        <v>1566</v>
      </c>
    </row>
    <row r="7" ht="38.25" customHeight="1" spans="1:11">
      <c r="A7" t="s">
        <v>1558</v>
      </c>
      <c r="B7" t="s">
        <v>1559</v>
      </c>
      <c r="C7" t="s">
        <v>1560</v>
      </c>
      <c r="D7" t="s">
        <v>1578</v>
      </c>
      <c r="E7" t="s">
        <v>978</v>
      </c>
      <c r="H7" t="s">
        <v>1579</v>
      </c>
      <c r="J7" t="s">
        <v>1580</v>
      </c>
      <c r="K7" t="s">
        <v>1566</v>
      </c>
    </row>
    <row r="8" ht="38.25" customHeight="1" spans="1:11">
      <c r="A8" t="s">
        <v>1581</v>
      </c>
      <c r="B8" t="s">
        <v>1582</v>
      </c>
      <c r="C8" t="s">
        <v>1583</v>
      </c>
      <c r="D8" t="s">
        <v>1584</v>
      </c>
      <c r="E8" t="s">
        <v>53</v>
      </c>
      <c r="G8" t="s">
        <v>1563</v>
      </c>
      <c r="H8" t="s">
        <v>1585</v>
      </c>
      <c r="J8" t="s">
        <v>1586</v>
      </c>
      <c r="K8" t="s">
        <v>1566</v>
      </c>
    </row>
    <row r="9" ht="38.25" customHeight="1" spans="1:11">
      <c r="A9" t="s">
        <v>1581</v>
      </c>
      <c r="B9" t="s">
        <v>1582</v>
      </c>
      <c r="C9" t="s">
        <v>1583</v>
      </c>
      <c r="D9" t="s">
        <v>1587</v>
      </c>
      <c r="E9" t="s">
        <v>11</v>
      </c>
      <c r="F9" t="s">
        <v>1562</v>
      </c>
      <c r="H9" t="s">
        <v>1564</v>
      </c>
      <c r="K9" t="s">
        <v>1566</v>
      </c>
    </row>
    <row r="10" ht="38.25" customHeight="1" spans="1:11">
      <c r="A10" t="s">
        <v>1581</v>
      </c>
      <c r="B10" t="s">
        <v>1582</v>
      </c>
      <c r="C10" t="s">
        <v>1583</v>
      </c>
      <c r="D10" t="s">
        <v>1587</v>
      </c>
      <c r="E10" t="s">
        <v>33</v>
      </c>
      <c r="H10" t="s">
        <v>1567</v>
      </c>
      <c r="K10" t="s">
        <v>1566</v>
      </c>
    </row>
    <row r="11" ht="38.25" customHeight="1" spans="1:11">
      <c r="A11" t="s">
        <v>1581</v>
      </c>
      <c r="B11" t="s">
        <v>1582</v>
      </c>
      <c r="C11" t="s">
        <v>1583</v>
      </c>
      <c r="D11" t="s">
        <v>1588</v>
      </c>
      <c r="E11" t="s">
        <v>56</v>
      </c>
      <c r="H11" t="s">
        <v>1589</v>
      </c>
      <c r="J11" t="s">
        <v>1590</v>
      </c>
      <c r="K11" t="s">
        <v>1566</v>
      </c>
    </row>
    <row r="12" ht="38.25" customHeight="1" spans="1:11">
      <c r="A12" t="s">
        <v>1581</v>
      </c>
      <c r="B12" t="s">
        <v>1582</v>
      </c>
      <c r="C12" t="s">
        <v>1583</v>
      </c>
      <c r="D12" t="s">
        <v>1591</v>
      </c>
      <c r="E12" t="s">
        <v>68</v>
      </c>
      <c r="H12" t="s">
        <v>1592</v>
      </c>
      <c r="J12" t="s">
        <v>1593</v>
      </c>
      <c r="K12" t="s">
        <v>1566</v>
      </c>
    </row>
    <row r="13" ht="38.25" customHeight="1" spans="1:11">
      <c r="A13" t="s">
        <v>1594</v>
      </c>
      <c r="B13" t="s">
        <v>1595</v>
      </c>
      <c r="C13" t="s">
        <v>1596</v>
      </c>
      <c r="D13" t="s">
        <v>1597</v>
      </c>
      <c r="E13" t="s">
        <v>38</v>
      </c>
      <c r="G13" t="s">
        <v>1563</v>
      </c>
      <c r="H13" t="s">
        <v>1570</v>
      </c>
      <c r="J13" t="s">
        <v>1598</v>
      </c>
      <c r="K13" t="s">
        <v>1566</v>
      </c>
    </row>
    <row r="14" ht="38.25" customHeight="1" spans="1:11">
      <c r="A14" t="s">
        <v>1594</v>
      </c>
      <c r="B14" t="s">
        <v>1595</v>
      </c>
      <c r="C14" t="s">
        <v>1596</v>
      </c>
      <c r="D14" t="s">
        <v>1599</v>
      </c>
      <c r="E14" t="s">
        <v>41</v>
      </c>
      <c r="H14" t="s">
        <v>1600</v>
      </c>
      <c r="J14" t="s">
        <v>1601</v>
      </c>
      <c r="K14" t="s">
        <v>1566</v>
      </c>
    </row>
    <row r="15" ht="38.25" customHeight="1" spans="1:11">
      <c r="A15" t="s">
        <v>1594</v>
      </c>
      <c r="B15" t="s">
        <v>1595</v>
      </c>
      <c r="C15" t="s">
        <v>1596</v>
      </c>
      <c r="D15" t="s">
        <v>1602</v>
      </c>
      <c r="E15" t="s">
        <v>46</v>
      </c>
      <c r="H15" t="s">
        <v>1573</v>
      </c>
      <c r="J15" t="s">
        <v>1603</v>
      </c>
      <c r="K15" t="s">
        <v>1566</v>
      </c>
    </row>
    <row r="16" ht="38.25" customHeight="1" spans="1:11">
      <c r="A16" t="s">
        <v>1604</v>
      </c>
      <c r="B16" t="s">
        <v>1605</v>
      </c>
      <c r="C16" t="s">
        <v>1606</v>
      </c>
      <c r="D16" t="s">
        <v>1607</v>
      </c>
      <c r="E16" t="s">
        <v>38</v>
      </c>
      <c r="F16" t="s">
        <v>1562</v>
      </c>
      <c r="G16" t="s">
        <v>1563</v>
      </c>
      <c r="H16" t="s">
        <v>1570</v>
      </c>
      <c r="K16" t="s">
        <v>1566</v>
      </c>
    </row>
    <row r="17" ht="38.25" customHeight="1" spans="1:11">
      <c r="A17" t="s">
        <v>1604</v>
      </c>
      <c r="B17" t="s">
        <v>1605</v>
      </c>
      <c r="C17" t="s">
        <v>1606</v>
      </c>
      <c r="D17" t="s">
        <v>1607</v>
      </c>
      <c r="E17" t="s">
        <v>342</v>
      </c>
      <c r="H17" t="s">
        <v>1608</v>
      </c>
      <c r="K17" t="s">
        <v>1566</v>
      </c>
    </row>
    <row r="18" ht="38.25" customHeight="1" spans="1:11">
      <c r="A18" t="s">
        <v>1604</v>
      </c>
      <c r="B18" t="s">
        <v>1605</v>
      </c>
      <c r="C18" t="s">
        <v>1606</v>
      </c>
      <c r="D18" t="s">
        <v>1609</v>
      </c>
      <c r="E18" t="s">
        <v>38</v>
      </c>
      <c r="F18" t="s">
        <v>1562</v>
      </c>
      <c r="G18" t="s">
        <v>1563</v>
      </c>
      <c r="H18" t="s">
        <v>1570</v>
      </c>
      <c r="K18" t="s">
        <v>1566</v>
      </c>
    </row>
    <row r="19" ht="38.25" customHeight="1" spans="1:11">
      <c r="A19" t="s">
        <v>1604</v>
      </c>
      <c r="B19" t="s">
        <v>1605</v>
      </c>
      <c r="C19" t="s">
        <v>1606</v>
      </c>
      <c r="D19" t="s">
        <v>1609</v>
      </c>
      <c r="E19" t="s">
        <v>11</v>
      </c>
      <c r="H19" t="s">
        <v>1564</v>
      </c>
      <c r="K19" t="s">
        <v>1566</v>
      </c>
    </row>
    <row r="20" ht="38.25" customHeight="1" spans="1:11">
      <c r="A20" t="s">
        <v>1604</v>
      </c>
      <c r="B20" t="s">
        <v>1605</v>
      </c>
      <c r="C20" t="s">
        <v>1606</v>
      </c>
      <c r="D20" t="s">
        <v>1610</v>
      </c>
      <c r="E20" t="s">
        <v>38</v>
      </c>
      <c r="F20" t="s">
        <v>1562</v>
      </c>
      <c r="G20" t="s">
        <v>1563</v>
      </c>
      <c r="H20" t="s">
        <v>1570</v>
      </c>
      <c r="J20" t="s">
        <v>1611</v>
      </c>
      <c r="K20" t="s">
        <v>1566</v>
      </c>
    </row>
    <row r="21" ht="38.25" customHeight="1" spans="1:11">
      <c r="A21" t="s">
        <v>1604</v>
      </c>
      <c r="B21" t="s">
        <v>1605</v>
      </c>
      <c r="C21" t="s">
        <v>1606</v>
      </c>
      <c r="D21" t="s">
        <v>1610</v>
      </c>
      <c r="E21" t="s">
        <v>1612</v>
      </c>
      <c r="F21" t="s">
        <v>1613</v>
      </c>
      <c r="H21" t="s">
        <v>1614</v>
      </c>
      <c r="K21" t="s">
        <v>1566</v>
      </c>
    </row>
    <row r="22" ht="38.25" customHeight="1" spans="1:11">
      <c r="A22" t="s">
        <v>1604</v>
      </c>
      <c r="B22" t="s">
        <v>1605</v>
      </c>
      <c r="C22" t="s">
        <v>1606</v>
      </c>
      <c r="D22" t="s">
        <v>1610</v>
      </c>
      <c r="E22" t="s">
        <v>11</v>
      </c>
      <c r="F22" t="s">
        <v>1613</v>
      </c>
      <c r="H22" t="s">
        <v>1564</v>
      </c>
      <c r="K22" t="s">
        <v>1566</v>
      </c>
    </row>
    <row r="23" ht="38.25" customHeight="1" spans="1:11">
      <c r="A23" t="s">
        <v>1604</v>
      </c>
      <c r="B23" t="s">
        <v>1605</v>
      </c>
      <c r="C23" t="s">
        <v>1606</v>
      </c>
      <c r="D23" t="s">
        <v>1610</v>
      </c>
      <c r="E23" t="s">
        <v>342</v>
      </c>
      <c r="H23" t="s">
        <v>1608</v>
      </c>
      <c r="K23" t="s">
        <v>1566</v>
      </c>
    </row>
    <row r="24" ht="38.25" customHeight="1" spans="1:11">
      <c r="A24" t="s">
        <v>1604</v>
      </c>
      <c r="B24" t="s">
        <v>1605</v>
      </c>
      <c r="C24" t="s">
        <v>1606</v>
      </c>
      <c r="D24" t="s">
        <v>1615</v>
      </c>
      <c r="E24" t="s">
        <v>423</v>
      </c>
      <c r="H24" t="s">
        <v>1616</v>
      </c>
      <c r="J24" t="s">
        <v>1617</v>
      </c>
      <c r="K24" t="s">
        <v>1566</v>
      </c>
    </row>
    <row r="25" ht="38.25" customHeight="1" spans="1:11">
      <c r="A25" t="s">
        <v>1618</v>
      </c>
      <c r="B25" t="s">
        <v>1619</v>
      </c>
      <c r="C25" t="s">
        <v>1620</v>
      </c>
      <c r="D25" t="s">
        <v>1597</v>
      </c>
      <c r="E25" t="s">
        <v>41</v>
      </c>
      <c r="F25" t="s">
        <v>1562</v>
      </c>
      <c r="G25" t="s">
        <v>1563</v>
      </c>
      <c r="H25" t="s">
        <v>1600</v>
      </c>
      <c r="K25" t="s">
        <v>1566</v>
      </c>
    </row>
    <row r="26" ht="38.25" customHeight="1" spans="1:11">
      <c r="A26" t="s">
        <v>1618</v>
      </c>
      <c r="B26" t="s">
        <v>1619</v>
      </c>
      <c r="C26" t="s">
        <v>1620</v>
      </c>
      <c r="D26" t="s">
        <v>1597</v>
      </c>
      <c r="E26" t="s">
        <v>38</v>
      </c>
      <c r="F26" t="s">
        <v>1613</v>
      </c>
      <c r="G26" t="s">
        <v>1563</v>
      </c>
      <c r="H26" t="s">
        <v>1570</v>
      </c>
      <c r="K26" t="s">
        <v>1566</v>
      </c>
    </row>
    <row r="27" ht="38.25" customHeight="1" spans="1:11">
      <c r="A27" t="s">
        <v>1618</v>
      </c>
      <c r="B27" t="s">
        <v>1619</v>
      </c>
      <c r="C27" t="s">
        <v>1620</v>
      </c>
      <c r="D27" t="s">
        <v>1621</v>
      </c>
      <c r="E27" t="s">
        <v>43</v>
      </c>
      <c r="H27" t="s">
        <v>1622</v>
      </c>
      <c r="K27" t="s">
        <v>1566</v>
      </c>
    </row>
    <row r="28" ht="38.25" customHeight="1" spans="1:11">
      <c r="A28" t="s">
        <v>1623</v>
      </c>
      <c r="B28" t="s">
        <v>1624</v>
      </c>
      <c r="C28" t="s">
        <v>1625</v>
      </c>
      <c r="D28" t="s">
        <v>1626</v>
      </c>
      <c r="E28" t="s">
        <v>978</v>
      </c>
      <c r="G28" t="s">
        <v>1563</v>
      </c>
      <c r="H28" t="s">
        <v>1579</v>
      </c>
      <c r="J28" t="s">
        <v>1627</v>
      </c>
      <c r="K28" t="s">
        <v>1566</v>
      </c>
    </row>
    <row r="29" ht="38.25" customHeight="1" spans="1:11">
      <c r="A29" t="s">
        <v>1623</v>
      </c>
      <c r="B29" t="s">
        <v>1624</v>
      </c>
      <c r="C29" t="s">
        <v>1625</v>
      </c>
      <c r="D29" t="s">
        <v>1628</v>
      </c>
      <c r="E29" t="s">
        <v>24</v>
      </c>
      <c r="H29" t="s">
        <v>1629</v>
      </c>
      <c r="J29" t="s">
        <v>1630</v>
      </c>
      <c r="K29" t="s">
        <v>1566</v>
      </c>
    </row>
    <row r="30" ht="38.25" customHeight="1" spans="1:11">
      <c r="A30" t="s">
        <v>1623</v>
      </c>
      <c r="B30" t="s">
        <v>1624</v>
      </c>
      <c r="C30" t="s">
        <v>1625</v>
      </c>
      <c r="D30" t="s">
        <v>1631</v>
      </c>
      <c r="E30" t="s">
        <v>78</v>
      </c>
      <c r="H30" t="s">
        <v>1632</v>
      </c>
      <c r="J30" t="s">
        <v>1633</v>
      </c>
      <c r="K30" t="s">
        <v>1566</v>
      </c>
    </row>
    <row r="31" ht="38.25" customHeight="1" spans="1:11">
      <c r="A31" t="s">
        <v>1623</v>
      </c>
      <c r="B31" t="s">
        <v>1624</v>
      </c>
      <c r="C31" t="s">
        <v>1625</v>
      </c>
      <c r="D31" t="s">
        <v>1634</v>
      </c>
      <c r="E31" t="s">
        <v>342</v>
      </c>
      <c r="H31" t="s">
        <v>1608</v>
      </c>
      <c r="J31" t="s">
        <v>1635</v>
      </c>
      <c r="K31" t="s">
        <v>1566</v>
      </c>
    </row>
    <row r="32" ht="38.25" customHeight="1" spans="1:11">
      <c r="A32" t="s">
        <v>1623</v>
      </c>
      <c r="B32" t="s">
        <v>1624</v>
      </c>
      <c r="C32" t="s">
        <v>1625</v>
      </c>
      <c r="D32" t="s">
        <v>1636</v>
      </c>
      <c r="E32" t="s">
        <v>55</v>
      </c>
      <c r="H32" t="s">
        <v>1637</v>
      </c>
      <c r="J32" t="s">
        <v>1638</v>
      </c>
      <c r="K32" t="s">
        <v>1566</v>
      </c>
    </row>
    <row r="33" ht="38.25" customHeight="1" spans="1:11">
      <c r="A33" t="s">
        <v>1623</v>
      </c>
      <c r="B33" t="s">
        <v>1624</v>
      </c>
      <c r="C33" t="s">
        <v>1625</v>
      </c>
      <c r="D33" t="s">
        <v>1639</v>
      </c>
      <c r="E33" t="s">
        <v>1640</v>
      </c>
      <c r="H33" t="s">
        <v>1641</v>
      </c>
      <c r="J33" t="s">
        <v>1642</v>
      </c>
      <c r="K33" t="s">
        <v>1566</v>
      </c>
    </row>
    <row r="34" ht="38.25" customHeight="1" spans="1:11">
      <c r="A34" t="s">
        <v>1623</v>
      </c>
      <c r="B34" t="s">
        <v>1624</v>
      </c>
      <c r="C34" t="s">
        <v>1625</v>
      </c>
      <c r="D34" t="s">
        <v>1643</v>
      </c>
      <c r="E34" t="s">
        <v>43</v>
      </c>
      <c r="H34" t="s">
        <v>1622</v>
      </c>
      <c r="J34" t="s">
        <v>1644</v>
      </c>
      <c r="K34" t="s">
        <v>1566</v>
      </c>
    </row>
    <row r="35" ht="38.25" customHeight="1" spans="1:11">
      <c r="A35" t="s">
        <v>1645</v>
      </c>
      <c r="B35" t="s">
        <v>1646</v>
      </c>
      <c r="C35" t="s">
        <v>1647</v>
      </c>
      <c r="D35" t="s">
        <v>1136</v>
      </c>
      <c r="E35" t="s">
        <v>11</v>
      </c>
      <c r="F35" t="s">
        <v>1562</v>
      </c>
      <c r="G35" t="s">
        <v>1563</v>
      </c>
      <c r="H35" t="s">
        <v>1564</v>
      </c>
      <c r="J35" t="s">
        <v>1648</v>
      </c>
      <c r="K35" t="s">
        <v>1566</v>
      </c>
    </row>
    <row r="36" ht="38.25" customHeight="1" spans="1:11">
      <c r="A36" t="s">
        <v>1645</v>
      </c>
      <c r="B36" t="s">
        <v>1646</v>
      </c>
      <c r="C36" t="s">
        <v>1647</v>
      </c>
      <c r="D36" t="s">
        <v>1136</v>
      </c>
      <c r="E36" t="s">
        <v>33</v>
      </c>
      <c r="H36" t="s">
        <v>1567</v>
      </c>
      <c r="J36" t="s">
        <v>1649</v>
      </c>
      <c r="K36" t="s">
        <v>1566</v>
      </c>
    </row>
    <row r="37" ht="38.25" customHeight="1" spans="1:11">
      <c r="A37" t="s">
        <v>1645</v>
      </c>
      <c r="B37" t="s">
        <v>1646</v>
      </c>
      <c r="C37" t="s">
        <v>1647</v>
      </c>
      <c r="D37" t="s">
        <v>1650</v>
      </c>
      <c r="E37" t="s">
        <v>52</v>
      </c>
      <c r="H37" t="s">
        <v>1651</v>
      </c>
      <c r="J37" t="s">
        <v>1652</v>
      </c>
      <c r="K37" t="s">
        <v>1566</v>
      </c>
    </row>
    <row r="38" ht="38.25" customHeight="1" spans="1:11">
      <c r="A38" t="s">
        <v>1645</v>
      </c>
      <c r="B38" t="s">
        <v>1646</v>
      </c>
      <c r="C38" t="s">
        <v>1647</v>
      </c>
      <c r="D38" t="s">
        <v>1653</v>
      </c>
      <c r="E38" t="s">
        <v>519</v>
      </c>
      <c r="H38" t="s">
        <v>1654</v>
      </c>
      <c r="J38" t="s">
        <v>1655</v>
      </c>
      <c r="K38" t="s">
        <v>1566</v>
      </c>
    </row>
    <row r="39" ht="38.25" customHeight="1" spans="1:11">
      <c r="A39" t="s">
        <v>1656</v>
      </c>
      <c r="B39" t="s">
        <v>1657</v>
      </c>
      <c r="C39" t="s">
        <v>1658</v>
      </c>
      <c r="D39" t="s">
        <v>1659</v>
      </c>
      <c r="E39" t="s">
        <v>53</v>
      </c>
      <c r="G39" t="s">
        <v>1563</v>
      </c>
      <c r="H39" t="s">
        <v>1585</v>
      </c>
      <c r="J39" t="s">
        <v>1660</v>
      </c>
      <c r="K39" t="s">
        <v>1566</v>
      </c>
    </row>
    <row r="40" ht="38.25" customHeight="1" spans="1:11">
      <c r="A40" t="s">
        <v>1656</v>
      </c>
      <c r="D40" t="s">
        <v>1661</v>
      </c>
      <c r="E40" t="s">
        <v>52</v>
      </c>
      <c r="H40" t="s">
        <v>1651</v>
      </c>
      <c r="J40" t="s">
        <v>1662</v>
      </c>
      <c r="K40" t="s">
        <v>1566</v>
      </c>
    </row>
    <row r="41" ht="38.25" customHeight="1" spans="1:11">
      <c r="A41" t="s">
        <v>1663</v>
      </c>
      <c r="B41" t="s">
        <v>1664</v>
      </c>
      <c r="C41" t="s">
        <v>1665</v>
      </c>
      <c r="D41" t="s">
        <v>1666</v>
      </c>
      <c r="E41" t="s">
        <v>56</v>
      </c>
      <c r="G41" t="s">
        <v>1563</v>
      </c>
      <c r="H41" t="s">
        <v>1589</v>
      </c>
      <c r="J41" t="s">
        <v>1667</v>
      </c>
      <c r="K41" t="s">
        <v>1566</v>
      </c>
    </row>
    <row r="42" ht="38.25" customHeight="1" spans="1:11">
      <c r="A42" t="s">
        <v>1663</v>
      </c>
      <c r="B42" t="s">
        <v>1664</v>
      </c>
      <c r="C42" t="s">
        <v>1665</v>
      </c>
      <c r="D42" t="s">
        <v>1668</v>
      </c>
      <c r="E42" t="s">
        <v>53</v>
      </c>
      <c r="H42" t="s">
        <v>1585</v>
      </c>
      <c r="J42" t="s">
        <v>1669</v>
      </c>
      <c r="K42" t="s">
        <v>1566</v>
      </c>
    </row>
    <row r="43" ht="38.25" customHeight="1" spans="1:11">
      <c r="A43" t="s">
        <v>1670</v>
      </c>
      <c r="B43" t="s">
        <v>1671</v>
      </c>
      <c r="C43" t="s">
        <v>1672</v>
      </c>
      <c r="D43" t="s">
        <v>1673</v>
      </c>
      <c r="E43" t="s">
        <v>22</v>
      </c>
      <c r="G43" t="s">
        <v>1563</v>
      </c>
      <c r="H43" t="s">
        <v>1674</v>
      </c>
      <c r="J43" t="s">
        <v>1675</v>
      </c>
      <c r="K43" t="s">
        <v>1566</v>
      </c>
    </row>
    <row r="44" ht="38.25" customHeight="1" spans="1:11">
      <c r="A44" t="s">
        <v>1670</v>
      </c>
      <c r="B44" t="s">
        <v>1671</v>
      </c>
      <c r="C44" t="s">
        <v>1672</v>
      </c>
      <c r="D44" t="s">
        <v>1676</v>
      </c>
      <c r="E44" t="s">
        <v>519</v>
      </c>
      <c r="F44" t="s">
        <v>1562</v>
      </c>
      <c r="H44" t="s">
        <v>1654</v>
      </c>
      <c r="J44" t="s">
        <v>1677</v>
      </c>
      <c r="K44" t="s">
        <v>1566</v>
      </c>
    </row>
    <row r="45" ht="38.25" customHeight="1" spans="1:11">
      <c r="A45" t="s">
        <v>1670</v>
      </c>
      <c r="B45" t="s">
        <v>1671</v>
      </c>
      <c r="C45" t="s">
        <v>1672</v>
      </c>
      <c r="D45" t="s">
        <v>1676</v>
      </c>
      <c r="E45" t="s">
        <v>342</v>
      </c>
      <c r="F45" t="s">
        <v>1613</v>
      </c>
      <c r="H45" t="s">
        <v>1608</v>
      </c>
      <c r="J45" t="s">
        <v>1678</v>
      </c>
      <c r="K45" t="s">
        <v>1566</v>
      </c>
    </row>
    <row r="46" ht="38.25" customHeight="1" spans="1:11">
      <c r="A46" t="s">
        <v>1670</v>
      </c>
      <c r="B46" t="s">
        <v>1671</v>
      </c>
      <c r="C46" t="s">
        <v>1672</v>
      </c>
      <c r="D46" t="s">
        <v>1676</v>
      </c>
      <c r="E46" t="s">
        <v>22</v>
      </c>
      <c r="H46" t="s">
        <v>1674</v>
      </c>
      <c r="J46" t="s">
        <v>1679</v>
      </c>
      <c r="K46" t="s">
        <v>1566</v>
      </c>
    </row>
    <row r="47" ht="38.25" customHeight="1" spans="1:11">
      <c r="A47" t="s">
        <v>1670</v>
      </c>
      <c r="B47" t="s">
        <v>1671</v>
      </c>
      <c r="C47" t="s">
        <v>1672</v>
      </c>
      <c r="D47" t="s">
        <v>1680</v>
      </c>
      <c r="E47" t="s">
        <v>33</v>
      </c>
      <c r="H47" t="s">
        <v>1567</v>
      </c>
      <c r="J47" t="s">
        <v>1681</v>
      </c>
      <c r="K47" t="s">
        <v>1566</v>
      </c>
    </row>
    <row r="48" ht="38.25" customHeight="1" spans="1:11">
      <c r="A48" t="s">
        <v>1682</v>
      </c>
      <c r="B48" t="s">
        <v>1683</v>
      </c>
      <c r="C48" t="s">
        <v>1684</v>
      </c>
      <c r="D48" t="s">
        <v>1685</v>
      </c>
      <c r="E48" t="s">
        <v>35</v>
      </c>
      <c r="F48" t="s">
        <v>1562</v>
      </c>
      <c r="G48" t="s">
        <v>1563</v>
      </c>
      <c r="H48" t="s">
        <v>1686</v>
      </c>
      <c r="J48" t="s">
        <v>1687</v>
      </c>
      <c r="K48" t="s">
        <v>1566</v>
      </c>
    </row>
    <row r="49" ht="38.25" customHeight="1" spans="1:11">
      <c r="A49" t="s">
        <v>1682</v>
      </c>
      <c r="B49" t="s">
        <v>1683</v>
      </c>
      <c r="C49" t="s">
        <v>1684</v>
      </c>
      <c r="D49" t="s">
        <v>1685</v>
      </c>
      <c r="E49" t="s">
        <v>342</v>
      </c>
      <c r="H49" t="s">
        <v>1608</v>
      </c>
      <c r="J49" t="s">
        <v>1687</v>
      </c>
      <c r="K49" t="s">
        <v>1566</v>
      </c>
    </row>
    <row r="50" ht="38.25" customHeight="1" spans="1:11">
      <c r="A50" t="s">
        <v>1682</v>
      </c>
      <c r="B50" t="s">
        <v>1683</v>
      </c>
      <c r="C50" t="s">
        <v>1684</v>
      </c>
      <c r="D50" t="s">
        <v>1688</v>
      </c>
      <c r="E50" t="s">
        <v>1689</v>
      </c>
      <c r="H50" t="s">
        <v>1690</v>
      </c>
      <c r="J50" t="s">
        <v>1691</v>
      </c>
      <c r="K50" t="s">
        <v>1566</v>
      </c>
    </row>
    <row r="51" ht="38.25" customHeight="1" spans="1:11">
      <c r="A51" t="s">
        <v>1682</v>
      </c>
      <c r="B51" t="s">
        <v>1683</v>
      </c>
      <c r="C51" t="s">
        <v>1684</v>
      </c>
      <c r="D51" t="s">
        <v>1692</v>
      </c>
      <c r="E51" t="s">
        <v>312</v>
      </c>
      <c r="H51" t="s">
        <v>1616</v>
      </c>
      <c r="J51" t="s">
        <v>1693</v>
      </c>
      <c r="K51" t="s">
        <v>1566</v>
      </c>
    </row>
    <row r="52" ht="38.25" customHeight="1" spans="1:11">
      <c r="A52" t="s">
        <v>1694</v>
      </c>
      <c r="B52" t="s">
        <v>1695</v>
      </c>
      <c r="E52" t="s">
        <v>35</v>
      </c>
      <c r="F52" t="s">
        <v>1562</v>
      </c>
      <c r="G52" t="s">
        <v>1563</v>
      </c>
      <c r="H52" t="s">
        <v>1686</v>
      </c>
      <c r="J52" t="s">
        <v>1696</v>
      </c>
      <c r="K52" t="s">
        <v>1566</v>
      </c>
    </row>
    <row r="53" ht="38.25" customHeight="1" spans="1:11">
      <c r="A53" t="s">
        <v>1694</v>
      </c>
      <c r="B53" t="s">
        <v>1695</v>
      </c>
      <c r="E53" t="s">
        <v>342</v>
      </c>
      <c r="H53" t="s">
        <v>1608</v>
      </c>
      <c r="K53" t="s">
        <v>1566</v>
      </c>
    </row>
    <row r="54" ht="38.25" customHeight="1" spans="1:11">
      <c r="A54" t="s">
        <v>1697</v>
      </c>
      <c r="B54" t="s">
        <v>1698</v>
      </c>
      <c r="C54" t="s">
        <v>1699</v>
      </c>
      <c r="D54" t="s">
        <v>1700</v>
      </c>
      <c r="E54" t="s">
        <v>86</v>
      </c>
      <c r="G54" t="s">
        <v>1563</v>
      </c>
      <c r="H54" t="s">
        <v>1701</v>
      </c>
      <c r="K54" t="s">
        <v>1566</v>
      </c>
    </row>
    <row r="55" ht="38.25" customHeight="1" spans="1:11">
      <c r="A55" t="s">
        <v>1697</v>
      </c>
      <c r="B55" t="s">
        <v>1698</v>
      </c>
      <c r="C55" t="s">
        <v>1699</v>
      </c>
      <c r="D55" t="s">
        <v>1702</v>
      </c>
      <c r="E55" t="s">
        <v>39</v>
      </c>
      <c r="H55" t="s">
        <v>1576</v>
      </c>
      <c r="J55" t="s">
        <v>1703</v>
      </c>
      <c r="K55" t="s">
        <v>1566</v>
      </c>
    </row>
    <row r="56" ht="38.25" customHeight="1" spans="1:11">
      <c r="A56" t="s">
        <v>1697</v>
      </c>
      <c r="B56" t="s">
        <v>1698</v>
      </c>
      <c r="C56" t="s">
        <v>1699</v>
      </c>
      <c r="D56" t="s">
        <v>1704</v>
      </c>
      <c r="E56" t="s">
        <v>330</v>
      </c>
      <c r="H56" t="s">
        <v>1705</v>
      </c>
      <c r="J56" t="s">
        <v>1706</v>
      </c>
      <c r="K56" t="s">
        <v>1566</v>
      </c>
    </row>
    <row r="57" ht="38.25" customHeight="1" spans="1:11">
      <c r="A57" t="s">
        <v>1707</v>
      </c>
      <c r="B57" t="s">
        <v>1708</v>
      </c>
      <c r="C57" t="s">
        <v>1709</v>
      </c>
      <c r="D57" t="s">
        <v>1710</v>
      </c>
      <c r="E57" t="s">
        <v>55</v>
      </c>
      <c r="G57" t="s">
        <v>1563</v>
      </c>
      <c r="H57" t="s">
        <v>1637</v>
      </c>
      <c r="J57" t="s">
        <v>1711</v>
      </c>
      <c r="K57" t="s">
        <v>1566</v>
      </c>
    </row>
    <row r="58" ht="38.25" customHeight="1" spans="1:11">
      <c r="A58" t="s">
        <v>1707</v>
      </c>
      <c r="B58" t="s">
        <v>1708</v>
      </c>
      <c r="C58" t="s">
        <v>1709</v>
      </c>
      <c r="D58" t="s">
        <v>1712</v>
      </c>
      <c r="E58" t="s">
        <v>41</v>
      </c>
      <c r="H58" t="s">
        <v>1600</v>
      </c>
      <c r="J58" t="s">
        <v>1713</v>
      </c>
      <c r="K58" t="s">
        <v>1566</v>
      </c>
    </row>
    <row r="59" ht="38.25" customHeight="1" spans="1:11">
      <c r="A59" t="s">
        <v>1707</v>
      </c>
      <c r="B59" t="s">
        <v>1708</v>
      </c>
      <c r="C59" t="s">
        <v>1709</v>
      </c>
      <c r="D59" t="s">
        <v>1714</v>
      </c>
      <c r="E59" t="s">
        <v>71</v>
      </c>
      <c r="H59" t="s">
        <v>1715</v>
      </c>
      <c r="J59" t="s">
        <v>1716</v>
      </c>
      <c r="K59" t="s">
        <v>1566</v>
      </c>
    </row>
    <row r="60" ht="38.25" customHeight="1" spans="1:11">
      <c r="A60" t="s">
        <v>1717</v>
      </c>
      <c r="B60" t="s">
        <v>1718</v>
      </c>
      <c r="C60" t="s">
        <v>1719</v>
      </c>
      <c r="D60" t="s">
        <v>1720</v>
      </c>
      <c r="E60" t="s">
        <v>1048</v>
      </c>
      <c r="G60" t="s">
        <v>1563</v>
      </c>
      <c r="H60" t="s">
        <v>1721</v>
      </c>
      <c r="J60" t="s">
        <v>1722</v>
      </c>
      <c r="K60" t="s">
        <v>1566</v>
      </c>
    </row>
    <row r="61" ht="38.25" customHeight="1" spans="1:11">
      <c r="A61" t="s">
        <v>1717</v>
      </c>
      <c r="B61" t="s">
        <v>1718</v>
      </c>
      <c r="C61" t="s">
        <v>1719</v>
      </c>
      <c r="D61" t="s">
        <v>1723</v>
      </c>
      <c r="E61" t="s">
        <v>34</v>
      </c>
      <c r="H61" t="s">
        <v>1724</v>
      </c>
      <c r="J61" t="s">
        <v>1725</v>
      </c>
      <c r="K61" t="s">
        <v>1566</v>
      </c>
    </row>
    <row r="62" ht="38.25" customHeight="1" spans="1:11">
      <c r="A62" t="s">
        <v>1717</v>
      </c>
      <c r="B62" t="s">
        <v>1718</v>
      </c>
      <c r="C62" t="s">
        <v>1719</v>
      </c>
      <c r="D62" t="s">
        <v>1726</v>
      </c>
      <c r="E62" t="s">
        <v>312</v>
      </c>
      <c r="H62" t="s">
        <v>1727</v>
      </c>
      <c r="J62" t="s">
        <v>1728</v>
      </c>
      <c r="K62" t="s">
        <v>1566</v>
      </c>
    </row>
    <row r="63" ht="38.25" customHeight="1" spans="1:11">
      <c r="A63" t="s">
        <v>1729</v>
      </c>
      <c r="B63" t="s">
        <v>1730</v>
      </c>
      <c r="C63" t="s">
        <v>1731</v>
      </c>
      <c r="D63" t="s">
        <v>1732</v>
      </c>
      <c r="E63" t="s">
        <v>519</v>
      </c>
      <c r="F63" t="s">
        <v>1562</v>
      </c>
      <c r="G63" t="s">
        <v>1563</v>
      </c>
      <c r="H63" t="s">
        <v>1654</v>
      </c>
      <c r="I63" t="s">
        <v>1733</v>
      </c>
      <c r="K63" t="s">
        <v>1566</v>
      </c>
    </row>
    <row r="64" ht="38.25" customHeight="1" spans="1:11">
      <c r="A64" t="s">
        <v>1729</v>
      </c>
      <c r="B64" t="s">
        <v>1730</v>
      </c>
      <c r="C64" t="s">
        <v>1731</v>
      </c>
      <c r="D64" t="s">
        <v>1732</v>
      </c>
      <c r="E64" t="s">
        <v>34</v>
      </c>
      <c r="F64" t="s">
        <v>1613</v>
      </c>
      <c r="H64" t="s">
        <v>1724</v>
      </c>
      <c r="I64" t="s">
        <v>1733</v>
      </c>
      <c r="J64" t="s">
        <v>1734</v>
      </c>
      <c r="K64" t="s">
        <v>1566</v>
      </c>
    </row>
    <row r="65" ht="38.25" customHeight="1" spans="1:11">
      <c r="A65" t="s">
        <v>1729</v>
      </c>
      <c r="B65" t="s">
        <v>1730</v>
      </c>
      <c r="C65" t="s">
        <v>1731</v>
      </c>
      <c r="D65" t="s">
        <v>1732</v>
      </c>
      <c r="E65" t="s">
        <v>312</v>
      </c>
      <c r="H65" t="s">
        <v>1727</v>
      </c>
      <c r="I65" t="s">
        <v>1733</v>
      </c>
      <c r="K65" t="s">
        <v>1566</v>
      </c>
    </row>
    <row r="66" ht="38.25" customHeight="1" spans="1:11">
      <c r="A66" t="s">
        <v>1729</v>
      </c>
      <c r="B66" t="s">
        <v>1730</v>
      </c>
      <c r="C66" t="s">
        <v>1731</v>
      </c>
      <c r="D66" t="s">
        <v>1735</v>
      </c>
      <c r="E66" t="s">
        <v>342</v>
      </c>
      <c r="F66" t="s">
        <v>1562</v>
      </c>
      <c r="G66" t="s">
        <v>1563</v>
      </c>
      <c r="H66" t="s">
        <v>1736</v>
      </c>
      <c r="I66" t="s">
        <v>1733</v>
      </c>
      <c r="J66" t="s">
        <v>1737</v>
      </c>
      <c r="K66" t="s">
        <v>1566</v>
      </c>
    </row>
    <row r="67" ht="38.25" customHeight="1" spans="1:11">
      <c r="A67" t="s">
        <v>1729</v>
      </c>
      <c r="B67" t="s">
        <v>1730</v>
      </c>
      <c r="C67" t="s">
        <v>1731</v>
      </c>
      <c r="D67" t="s">
        <v>1735</v>
      </c>
      <c r="E67" t="s">
        <v>38</v>
      </c>
      <c r="F67" t="s">
        <v>1613</v>
      </c>
      <c r="H67" t="s">
        <v>1738</v>
      </c>
      <c r="I67" t="s">
        <v>1733</v>
      </c>
      <c r="K67" t="s">
        <v>1566</v>
      </c>
    </row>
    <row r="68" ht="38.25" customHeight="1" spans="1:11">
      <c r="A68" t="s">
        <v>1729</v>
      </c>
      <c r="B68" t="s">
        <v>1730</v>
      </c>
      <c r="C68" t="s">
        <v>1731</v>
      </c>
      <c r="D68" t="s">
        <v>1735</v>
      </c>
      <c r="E68" t="s">
        <v>330</v>
      </c>
      <c r="H68" t="s">
        <v>1705</v>
      </c>
      <c r="I68" t="s">
        <v>1733</v>
      </c>
      <c r="K68" t="s">
        <v>1566</v>
      </c>
    </row>
    <row r="69" ht="38.25" customHeight="1" spans="1:11">
      <c r="A69" t="s">
        <v>1739</v>
      </c>
      <c r="B69" t="s">
        <v>1740</v>
      </c>
      <c r="C69" t="s">
        <v>1741</v>
      </c>
      <c r="D69" t="s">
        <v>1742</v>
      </c>
      <c r="E69" t="s">
        <v>519</v>
      </c>
      <c r="F69" t="s">
        <v>1562</v>
      </c>
      <c r="G69" t="s">
        <v>1563</v>
      </c>
      <c r="H69" t="s">
        <v>1654</v>
      </c>
      <c r="K69" t="s">
        <v>1566</v>
      </c>
    </row>
    <row r="70" ht="38.25" customHeight="1" spans="1:11">
      <c r="A70" t="s">
        <v>1739</v>
      </c>
      <c r="B70" t="s">
        <v>1740</v>
      </c>
      <c r="C70" t="s">
        <v>1741</v>
      </c>
      <c r="D70" t="s">
        <v>1743</v>
      </c>
      <c r="E70" t="s">
        <v>79</v>
      </c>
      <c r="H70" t="s">
        <v>1744</v>
      </c>
      <c r="K70" t="s">
        <v>1566</v>
      </c>
    </row>
    <row r="71" ht="38.25" customHeight="1" spans="1:11">
      <c r="A71" t="s">
        <v>1739</v>
      </c>
      <c r="B71" t="s">
        <v>1740</v>
      </c>
      <c r="C71" t="s">
        <v>1741</v>
      </c>
      <c r="D71" t="s">
        <v>1742</v>
      </c>
      <c r="E71" t="s">
        <v>342</v>
      </c>
      <c r="H71" t="s">
        <v>1608</v>
      </c>
      <c r="K71" t="s">
        <v>1566</v>
      </c>
    </row>
    <row r="72" ht="38.25" customHeight="1" spans="1:11">
      <c r="A72" t="s">
        <v>1739</v>
      </c>
      <c r="B72" t="s">
        <v>1740</v>
      </c>
      <c r="C72" t="s">
        <v>1741</v>
      </c>
      <c r="D72" t="s">
        <v>1745</v>
      </c>
      <c r="E72" t="s">
        <v>519</v>
      </c>
      <c r="H72" t="s">
        <v>1654</v>
      </c>
      <c r="K72" t="s">
        <v>1566</v>
      </c>
    </row>
    <row r="73" ht="38.25" customHeight="1" spans="1:11">
      <c r="A73" t="s">
        <v>1739</v>
      </c>
      <c r="B73" t="s">
        <v>1740</v>
      </c>
      <c r="C73" t="s">
        <v>1741</v>
      </c>
      <c r="D73" t="s">
        <v>1745</v>
      </c>
      <c r="E73" t="s">
        <v>50</v>
      </c>
      <c r="F73" t="s">
        <v>1562</v>
      </c>
      <c r="H73" t="s">
        <v>1746</v>
      </c>
      <c r="J73" t="s">
        <v>1747</v>
      </c>
      <c r="K73" t="s">
        <v>1566</v>
      </c>
    </row>
    <row r="74" ht="38.25" customHeight="1" spans="1:11">
      <c r="A74" t="s">
        <v>1739</v>
      </c>
      <c r="B74" t="s">
        <v>1740</v>
      </c>
      <c r="C74" t="s">
        <v>1741</v>
      </c>
      <c r="D74" t="s">
        <v>1745</v>
      </c>
      <c r="E74" t="s">
        <v>342</v>
      </c>
      <c r="H74" t="s">
        <v>1608</v>
      </c>
      <c r="K74" t="s">
        <v>1566</v>
      </c>
    </row>
    <row r="75" ht="38.25" customHeight="1" spans="1:11">
      <c r="A75" t="s">
        <v>1739</v>
      </c>
      <c r="B75" t="s">
        <v>1740</v>
      </c>
      <c r="C75" t="s">
        <v>1741</v>
      </c>
      <c r="D75" t="s">
        <v>1748</v>
      </c>
      <c r="E75" t="s">
        <v>56</v>
      </c>
      <c r="H75" t="s">
        <v>1589</v>
      </c>
      <c r="K75" t="s">
        <v>1566</v>
      </c>
    </row>
    <row r="76" ht="38.25" customHeight="1" spans="1:11">
      <c r="A76" t="s">
        <v>1739</v>
      </c>
      <c r="B76" t="s">
        <v>1740</v>
      </c>
      <c r="C76" t="s">
        <v>1741</v>
      </c>
      <c r="D76" t="s">
        <v>1749</v>
      </c>
      <c r="E76" t="s">
        <v>55</v>
      </c>
      <c r="H76" t="s">
        <v>1637</v>
      </c>
      <c r="J76" t="s">
        <v>1750</v>
      </c>
      <c r="K76" t="s">
        <v>1566</v>
      </c>
    </row>
    <row r="77" ht="38.25" customHeight="1" spans="1:11">
      <c r="A77" t="s">
        <v>1751</v>
      </c>
      <c r="B77" t="s">
        <v>1752</v>
      </c>
      <c r="C77" t="s">
        <v>1753</v>
      </c>
      <c r="D77" t="s">
        <v>1754</v>
      </c>
      <c r="E77" t="s">
        <v>1689</v>
      </c>
      <c r="G77" t="s">
        <v>1563</v>
      </c>
      <c r="H77" t="s">
        <v>1755</v>
      </c>
      <c r="J77" t="s">
        <v>1756</v>
      </c>
      <c r="K77" t="s">
        <v>1566</v>
      </c>
    </row>
    <row r="78" ht="38.25" customHeight="1" spans="1:11">
      <c r="A78" t="s">
        <v>1751</v>
      </c>
      <c r="B78" t="s">
        <v>1752</v>
      </c>
      <c r="C78" t="s">
        <v>1753</v>
      </c>
      <c r="D78" t="s">
        <v>1757</v>
      </c>
      <c r="E78" t="s">
        <v>50</v>
      </c>
      <c r="H78" t="s">
        <v>1746</v>
      </c>
      <c r="J78" t="s">
        <v>1758</v>
      </c>
      <c r="K78" t="s">
        <v>1566</v>
      </c>
    </row>
    <row r="79" ht="38.25" customHeight="1" spans="1:11">
      <c r="A79" t="s">
        <v>1759</v>
      </c>
      <c r="B79" t="s">
        <v>1760</v>
      </c>
      <c r="C79" t="s">
        <v>1761</v>
      </c>
      <c r="D79" t="s">
        <v>1762</v>
      </c>
      <c r="E79" t="s">
        <v>45</v>
      </c>
      <c r="G79" t="s">
        <v>1563</v>
      </c>
      <c r="H79" t="s">
        <v>1763</v>
      </c>
      <c r="K79" t="s">
        <v>1566</v>
      </c>
    </row>
    <row r="80" ht="38.25" customHeight="1" spans="1:11">
      <c r="A80" t="s">
        <v>1759</v>
      </c>
      <c r="B80" t="s">
        <v>1760</v>
      </c>
      <c r="C80" t="s">
        <v>1761</v>
      </c>
      <c r="D80" t="s">
        <v>1764</v>
      </c>
      <c r="E80" t="s">
        <v>22</v>
      </c>
      <c r="F80" t="s">
        <v>1613</v>
      </c>
      <c r="H80" t="s">
        <v>1674</v>
      </c>
      <c r="J80" t="s">
        <v>1765</v>
      </c>
      <c r="K80" t="s">
        <v>1566</v>
      </c>
    </row>
    <row r="81" ht="38.25" customHeight="1" spans="1:11">
      <c r="A81" t="s">
        <v>1759</v>
      </c>
      <c r="B81" t="s">
        <v>1760</v>
      </c>
      <c r="C81" t="s">
        <v>1761</v>
      </c>
      <c r="D81" t="s">
        <v>1764</v>
      </c>
      <c r="E81" t="s">
        <v>45</v>
      </c>
      <c r="F81" t="s">
        <v>1562</v>
      </c>
      <c r="H81" t="s">
        <v>1763</v>
      </c>
      <c r="J81" t="s">
        <v>1766</v>
      </c>
      <c r="K81" t="s">
        <v>1566</v>
      </c>
    </row>
    <row r="82" ht="38.25" customHeight="1" spans="1:11">
      <c r="A82" t="s">
        <v>1759</v>
      </c>
      <c r="B82" t="s">
        <v>1760</v>
      </c>
      <c r="C82" t="s">
        <v>1761</v>
      </c>
      <c r="D82" t="s">
        <v>1764</v>
      </c>
      <c r="E82" t="s">
        <v>1767</v>
      </c>
      <c r="H82" t="s">
        <v>1651</v>
      </c>
      <c r="J82" t="s">
        <v>1768</v>
      </c>
      <c r="K82" t="s">
        <v>1566</v>
      </c>
    </row>
    <row r="83" ht="38.25" customHeight="1" spans="1:11">
      <c r="A83" t="s">
        <v>1769</v>
      </c>
      <c r="B83" t="s">
        <v>1770</v>
      </c>
      <c r="C83" t="s">
        <v>1771</v>
      </c>
      <c r="D83" t="s">
        <v>1772</v>
      </c>
      <c r="E83" t="s">
        <v>909</v>
      </c>
      <c r="F83" t="s">
        <v>1562</v>
      </c>
      <c r="G83" t="s">
        <v>1563</v>
      </c>
      <c r="K83" t="s">
        <v>1566</v>
      </c>
    </row>
    <row r="84" ht="38.25" customHeight="1" spans="1:11">
      <c r="A84" t="s">
        <v>1769</v>
      </c>
      <c r="B84" t="s">
        <v>1770</v>
      </c>
      <c r="C84" t="s">
        <v>1771</v>
      </c>
      <c r="D84" t="s">
        <v>1773</v>
      </c>
      <c r="E84" t="s">
        <v>1774</v>
      </c>
      <c r="F84" t="s">
        <v>1613</v>
      </c>
      <c r="H84" t="s">
        <v>1775</v>
      </c>
      <c r="K84" t="s">
        <v>1566</v>
      </c>
    </row>
    <row r="85" ht="38.25" customHeight="1" spans="1:11">
      <c r="A85" t="s">
        <v>1769</v>
      </c>
      <c r="B85" t="s">
        <v>1770</v>
      </c>
      <c r="C85" t="s">
        <v>1771</v>
      </c>
      <c r="D85" t="s">
        <v>1776</v>
      </c>
      <c r="E85" t="s">
        <v>821</v>
      </c>
      <c r="F85" t="s">
        <v>1613</v>
      </c>
      <c r="H85" t="s">
        <v>1777</v>
      </c>
      <c r="K85" t="s">
        <v>1566</v>
      </c>
    </row>
    <row r="86" ht="38.25" customHeight="1" spans="1:11">
      <c r="A86" t="s">
        <v>1769</v>
      </c>
      <c r="B86" t="s">
        <v>1770</v>
      </c>
      <c r="C86" t="s">
        <v>1771</v>
      </c>
      <c r="D86" t="s">
        <v>1778</v>
      </c>
      <c r="E86" t="s">
        <v>28</v>
      </c>
      <c r="H86" t="s">
        <v>1779</v>
      </c>
      <c r="K86" t="s">
        <v>1566</v>
      </c>
    </row>
    <row r="87" ht="38.25" customHeight="1" spans="1:11">
      <c r="A87" t="s">
        <v>1769</v>
      </c>
      <c r="B87" t="s">
        <v>1770</v>
      </c>
      <c r="C87" t="s">
        <v>1771</v>
      </c>
      <c r="D87" t="s">
        <v>1780</v>
      </c>
      <c r="E87" t="s">
        <v>53</v>
      </c>
      <c r="H87" t="s">
        <v>1585</v>
      </c>
      <c r="K87" t="s">
        <v>1566</v>
      </c>
    </row>
    <row r="88" ht="38.25" customHeight="1" spans="1:11">
      <c r="A88" t="s">
        <v>1781</v>
      </c>
      <c r="D88" t="s">
        <v>1782</v>
      </c>
      <c r="E88" t="s">
        <v>48</v>
      </c>
      <c r="H88" t="s">
        <v>1783</v>
      </c>
      <c r="I88" t="s">
        <v>1784</v>
      </c>
      <c r="K88" t="s">
        <v>1566</v>
      </c>
    </row>
    <row r="89" ht="38.25" customHeight="1" spans="1:11">
      <c r="A89" t="s">
        <v>1781</v>
      </c>
      <c r="D89" t="s">
        <v>1785</v>
      </c>
      <c r="E89" t="s">
        <v>423</v>
      </c>
      <c r="H89" t="s">
        <v>1616</v>
      </c>
      <c r="I89" t="s">
        <v>1784</v>
      </c>
      <c r="K89" t="s">
        <v>1566</v>
      </c>
    </row>
    <row r="90" ht="38.25" customHeight="1" spans="1:11">
      <c r="A90" t="s">
        <v>1781</v>
      </c>
      <c r="D90" t="s">
        <v>1786</v>
      </c>
      <c r="E90" t="s">
        <v>395</v>
      </c>
      <c r="H90" t="s">
        <v>1787</v>
      </c>
      <c r="I90" t="s">
        <v>1784</v>
      </c>
      <c r="K90" t="s">
        <v>1566</v>
      </c>
    </row>
  </sheetData>
  <conditionalFormatting sqref="F$1:F$1048576">
    <cfRule type="containsBlanks" dxfId="0" priority="1">
      <formula>LEN(TRIM(F1))=0</formula>
    </cfRule>
    <cfRule type="notContainsBlanks" dxfId="0" priority="2">
      <formula>LEN(TRIM(F1))&gt;0</formula>
    </cfRule>
  </conditionalFormatting>
  <dataValidations count="2">
    <dataValidation type="list" sqref="F2:F89">
      <formula1>"高,中"</formula1>
    </dataValidation>
    <dataValidation type="list" sqref="G2:G89">
      <formula1>"是"</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7"/>
  <sheetViews>
    <sheetView tabSelected="1" workbookViewId="0">
      <selection activeCell="A1" sqref="A1"/>
    </sheetView>
  </sheetViews>
  <sheetFormatPr defaultColWidth="9.64285714285714" defaultRowHeight="16.8"/>
  <cols>
    <col min="1" max="28" width="19" customWidth="1"/>
  </cols>
  <sheetData>
    <row r="1" ht="13" customHeight="1" spans="1:28">
      <c r="A1" s="1" t="s">
        <v>1788</v>
      </c>
      <c r="B1" s="1" t="s">
        <v>1789</v>
      </c>
      <c r="C1" s="1" t="s">
        <v>149</v>
      </c>
      <c r="D1" s="1" t="s">
        <v>1790</v>
      </c>
      <c r="E1" s="1" t="s">
        <v>1791</v>
      </c>
      <c r="F1" s="1" t="s">
        <v>1792</v>
      </c>
      <c r="G1" s="1" t="s">
        <v>1793</v>
      </c>
      <c r="H1" s="1" t="s">
        <v>1794</v>
      </c>
      <c r="I1" s="1" t="s">
        <v>1795</v>
      </c>
      <c r="J1" s="1" t="s">
        <v>1796</v>
      </c>
      <c r="K1" s="1" t="s">
        <v>1797</v>
      </c>
      <c r="L1" s="1" t="s">
        <v>1798</v>
      </c>
      <c r="M1" s="1" t="s">
        <v>1799</v>
      </c>
      <c r="N1" s="1" t="s">
        <v>1800</v>
      </c>
      <c r="O1" s="1" t="s">
        <v>1801</v>
      </c>
      <c r="P1" s="1" t="s">
        <v>1802</v>
      </c>
      <c r="Q1" s="1" t="s">
        <v>1803</v>
      </c>
      <c r="R1" s="1" t="s">
        <v>1804</v>
      </c>
      <c r="S1" s="1" t="s">
        <v>1805</v>
      </c>
      <c r="T1" s="1" t="s">
        <v>1806</v>
      </c>
      <c r="U1" s="1" t="s">
        <v>1807</v>
      </c>
      <c r="V1" s="1" t="s">
        <v>1808</v>
      </c>
      <c r="W1" s="1" t="s">
        <v>1809</v>
      </c>
      <c r="X1" s="1" t="s">
        <v>1810</v>
      </c>
      <c r="Y1" s="1" t="s">
        <v>1811</v>
      </c>
      <c r="Z1" s="1" t="s">
        <v>1812</v>
      </c>
      <c r="AA1" s="1" t="s">
        <v>1813</v>
      </c>
      <c r="AB1" s="1" t="s">
        <v>9</v>
      </c>
    </row>
    <row r="2" ht="38.25" customHeight="1" spans="1:28">
      <c r="A2" t="s">
        <v>1814</v>
      </c>
      <c r="B2" t="s">
        <v>1815</v>
      </c>
      <c r="C2" t="s">
        <v>1816</v>
      </c>
      <c r="D2" t="s">
        <v>1817</v>
      </c>
      <c r="E2" t="s">
        <v>1818</v>
      </c>
      <c r="F2" t="s">
        <v>1819</v>
      </c>
      <c r="G2" t="s">
        <v>1820</v>
      </c>
      <c r="H2" t="s">
        <v>1821</v>
      </c>
      <c r="I2" t="s">
        <v>1822</v>
      </c>
      <c r="K2" t="s">
        <v>1822</v>
      </c>
      <c r="L2" t="s">
        <v>1823</v>
      </c>
      <c r="M2" t="s">
        <v>1824</v>
      </c>
      <c r="N2" t="s">
        <v>1825</v>
      </c>
      <c r="O2" t="s">
        <v>1826</v>
      </c>
      <c r="P2" t="s">
        <v>1827</v>
      </c>
      <c r="Q2" t="s">
        <v>886</v>
      </c>
      <c r="R2" t="s">
        <v>1828</v>
      </c>
      <c r="S2" t="s">
        <v>1829</v>
      </c>
      <c r="T2" t="s">
        <v>1830</v>
      </c>
      <c r="U2" t="s">
        <v>1831</v>
      </c>
      <c r="V2" t="s">
        <v>1832</v>
      </c>
      <c r="W2" t="s">
        <v>1833</v>
      </c>
      <c r="X2" t="s">
        <v>1834</v>
      </c>
      <c r="Y2" t="s">
        <v>1835</v>
      </c>
      <c r="Z2" t="s">
        <v>1822</v>
      </c>
      <c r="AA2" t="s">
        <v>1836</v>
      </c>
      <c r="AB2" s="3">
        <v>46149.7395138889</v>
      </c>
    </row>
    <row r="3" ht="38.25" customHeight="1" spans="1:28">
      <c r="A3" t="s">
        <v>1837</v>
      </c>
      <c r="B3" t="s">
        <v>1838</v>
      </c>
      <c r="C3" t="s">
        <v>1839</v>
      </c>
      <c r="D3" t="s">
        <v>1840</v>
      </c>
      <c r="E3" t="s">
        <v>1841</v>
      </c>
      <c r="F3" t="s">
        <v>1842</v>
      </c>
      <c r="G3" t="s">
        <v>1843</v>
      </c>
      <c r="H3" t="s">
        <v>1844</v>
      </c>
      <c r="I3" t="s">
        <v>1845</v>
      </c>
      <c r="J3" t="s">
        <v>1846</v>
      </c>
      <c r="K3" t="s">
        <v>1847</v>
      </c>
      <c r="L3" t="s">
        <v>1848</v>
      </c>
      <c r="M3" t="s">
        <v>1824</v>
      </c>
      <c r="N3" t="s">
        <v>1849</v>
      </c>
      <c r="O3" t="s">
        <v>1850</v>
      </c>
      <c r="P3" t="s">
        <v>1851</v>
      </c>
      <c r="Q3" t="s">
        <v>1852</v>
      </c>
      <c r="R3" t="s">
        <v>1853</v>
      </c>
      <c r="S3" t="s">
        <v>1854</v>
      </c>
      <c r="T3" t="s">
        <v>1855</v>
      </c>
      <c r="U3" t="s">
        <v>1856</v>
      </c>
      <c r="V3" t="s">
        <v>1857</v>
      </c>
      <c r="W3" t="s">
        <v>1858</v>
      </c>
      <c r="X3" t="s">
        <v>1859</v>
      </c>
      <c r="Y3" t="s">
        <v>1822</v>
      </c>
      <c r="Z3" t="s">
        <v>1822</v>
      </c>
      <c r="AA3" t="s">
        <v>1860</v>
      </c>
      <c r="AB3" s="3">
        <v>46149.7395138889</v>
      </c>
    </row>
    <row r="4" ht="38.25" customHeight="1" spans="1:28">
      <c r="A4" t="s">
        <v>1861</v>
      </c>
      <c r="C4" t="s">
        <v>1862</v>
      </c>
      <c r="D4" t="s">
        <v>1863</v>
      </c>
      <c r="E4" t="s">
        <v>1864</v>
      </c>
      <c r="F4" t="s">
        <v>1865</v>
      </c>
      <c r="G4" t="s">
        <v>1866</v>
      </c>
      <c r="H4" t="s">
        <v>1867</v>
      </c>
      <c r="I4" t="s">
        <v>1868</v>
      </c>
      <c r="J4" t="s">
        <v>207</v>
      </c>
      <c r="K4" t="s">
        <v>1869</v>
      </c>
      <c r="M4" t="s">
        <v>1824</v>
      </c>
      <c r="O4" t="s">
        <v>263</v>
      </c>
      <c r="S4" t="s">
        <v>1829</v>
      </c>
      <c r="T4" t="s">
        <v>1855</v>
      </c>
      <c r="U4" t="s">
        <v>1856</v>
      </c>
      <c r="V4" t="s">
        <v>1857</v>
      </c>
      <c r="W4" t="s">
        <v>1858</v>
      </c>
      <c r="X4" t="s">
        <v>1859</v>
      </c>
      <c r="AA4" t="s">
        <v>1860</v>
      </c>
      <c r="AB4" s="3">
        <v>46154.4666203704</v>
      </c>
    </row>
    <row r="5" ht="38.25" customHeight="1" spans="1:28">
      <c r="A5" t="s">
        <v>1870</v>
      </c>
      <c r="B5" t="s">
        <v>1871</v>
      </c>
      <c r="C5" t="s">
        <v>524</v>
      </c>
      <c r="D5" t="s">
        <v>1872</v>
      </c>
      <c r="E5" t="s">
        <v>1873</v>
      </c>
      <c r="F5" t="s">
        <v>1874</v>
      </c>
      <c r="G5" t="s">
        <v>1875</v>
      </c>
      <c r="H5" t="s">
        <v>1876</v>
      </c>
      <c r="I5" t="s">
        <v>1877</v>
      </c>
      <c r="J5" t="s">
        <v>1878</v>
      </c>
      <c r="K5" t="s">
        <v>1879</v>
      </c>
      <c r="L5" t="s">
        <v>1880</v>
      </c>
      <c r="M5" t="s">
        <v>1824</v>
      </c>
      <c r="N5" t="s">
        <v>1881</v>
      </c>
      <c r="O5" t="s">
        <v>531</v>
      </c>
      <c r="P5" t="s">
        <v>1882</v>
      </c>
      <c r="Q5" t="s">
        <v>1883</v>
      </c>
      <c r="R5" t="s">
        <v>1884</v>
      </c>
      <c r="S5" t="s">
        <v>1829</v>
      </c>
      <c r="T5" t="s">
        <v>1885</v>
      </c>
      <c r="U5" t="s">
        <v>1886</v>
      </c>
      <c r="V5" t="s">
        <v>1887</v>
      </c>
      <c r="W5" t="s">
        <v>1888</v>
      </c>
      <c r="X5" t="s">
        <v>1889</v>
      </c>
      <c r="Y5" t="s">
        <v>1822</v>
      </c>
      <c r="Z5" t="s">
        <v>1822</v>
      </c>
      <c r="AA5" t="s">
        <v>1890</v>
      </c>
      <c r="AB5" s="3">
        <v>46149.7395138889</v>
      </c>
    </row>
    <row r="6" ht="38.25" customHeight="1" spans="1:28">
      <c r="A6" t="s">
        <v>1891</v>
      </c>
      <c r="B6" t="s">
        <v>1892</v>
      </c>
      <c r="C6" t="s">
        <v>1893</v>
      </c>
      <c r="D6" t="s">
        <v>1894</v>
      </c>
      <c r="E6" t="s">
        <v>1895</v>
      </c>
      <c r="F6" t="s">
        <v>1896</v>
      </c>
      <c r="G6" t="s">
        <v>1897</v>
      </c>
      <c r="H6" t="s">
        <v>1898</v>
      </c>
      <c r="I6" t="s">
        <v>546</v>
      </c>
      <c r="J6" t="s">
        <v>1899</v>
      </c>
      <c r="K6" t="s">
        <v>1900</v>
      </c>
      <c r="M6" t="s">
        <v>1824</v>
      </c>
      <c r="N6" t="s">
        <v>1901</v>
      </c>
      <c r="O6" t="s">
        <v>547</v>
      </c>
      <c r="P6" t="s">
        <v>1902</v>
      </c>
      <c r="Q6" t="s">
        <v>1903</v>
      </c>
      <c r="R6" t="s">
        <v>1904</v>
      </c>
      <c r="S6" t="s">
        <v>1829</v>
      </c>
      <c r="T6" t="s">
        <v>1905</v>
      </c>
      <c r="U6" t="s">
        <v>1906</v>
      </c>
      <c r="V6" t="s">
        <v>1907</v>
      </c>
      <c r="W6" t="s">
        <v>1822</v>
      </c>
      <c r="X6" t="s">
        <v>1908</v>
      </c>
      <c r="Y6" t="s">
        <v>1822</v>
      </c>
      <c r="Z6" t="s">
        <v>1822</v>
      </c>
      <c r="AA6" t="s">
        <v>1822</v>
      </c>
      <c r="AB6" s="3">
        <v>46153.677662037</v>
      </c>
    </row>
    <row r="7" ht="38.25" customHeight="1" spans="1:28">
      <c r="A7" t="s">
        <v>1909</v>
      </c>
      <c r="C7" t="s">
        <v>1910</v>
      </c>
      <c r="D7" t="s">
        <v>1911</v>
      </c>
      <c r="E7" t="s">
        <v>1912</v>
      </c>
      <c r="F7" t="s">
        <v>1913</v>
      </c>
      <c r="G7" t="s">
        <v>1914</v>
      </c>
      <c r="H7" t="s">
        <v>1915</v>
      </c>
      <c r="I7" t="s">
        <v>1916</v>
      </c>
      <c r="J7" t="s">
        <v>1917</v>
      </c>
      <c r="K7" t="s">
        <v>207</v>
      </c>
      <c r="M7" t="s">
        <v>1824</v>
      </c>
      <c r="N7" t="s">
        <v>1918</v>
      </c>
      <c r="O7" t="s">
        <v>448</v>
      </c>
      <c r="P7" t="s">
        <v>1919</v>
      </c>
      <c r="Q7" t="s">
        <v>1919</v>
      </c>
      <c r="R7" t="s">
        <v>1920</v>
      </c>
      <c r="S7" t="s">
        <v>1829</v>
      </c>
      <c r="T7" t="s">
        <v>1921</v>
      </c>
      <c r="U7" t="s">
        <v>1922</v>
      </c>
      <c r="V7" t="s">
        <v>1923</v>
      </c>
      <c r="W7" t="s">
        <v>1924</v>
      </c>
      <c r="X7" t="s">
        <v>1822</v>
      </c>
      <c r="Y7" t="s">
        <v>1822</v>
      </c>
      <c r="Z7" t="s">
        <v>1822</v>
      </c>
      <c r="AA7" t="s">
        <v>1822</v>
      </c>
      <c r="AB7" s="3">
        <v>46149.7395138889</v>
      </c>
    </row>
    <row r="8" ht="38.25" customHeight="1" spans="1:28">
      <c r="A8" t="s">
        <v>1925</v>
      </c>
      <c r="C8" t="s">
        <v>1926</v>
      </c>
      <c r="D8" t="s">
        <v>1927</v>
      </c>
      <c r="E8" t="s">
        <v>1928</v>
      </c>
      <c r="F8" t="s">
        <v>1929</v>
      </c>
      <c r="G8" t="s">
        <v>1930</v>
      </c>
      <c r="H8" t="s">
        <v>1822</v>
      </c>
      <c r="I8" t="s">
        <v>1822</v>
      </c>
      <c r="K8" t="s">
        <v>1822</v>
      </c>
      <c r="M8" t="s">
        <v>1824</v>
      </c>
      <c r="N8" t="s">
        <v>1931</v>
      </c>
      <c r="O8" t="s">
        <v>1931</v>
      </c>
      <c r="P8" t="s">
        <v>1931</v>
      </c>
      <c r="Q8" t="s">
        <v>1931</v>
      </c>
      <c r="R8" t="s">
        <v>1931</v>
      </c>
      <c r="S8" t="s">
        <v>1829</v>
      </c>
      <c r="T8" t="s">
        <v>1931</v>
      </c>
      <c r="U8" t="s">
        <v>1932</v>
      </c>
      <c r="V8" t="s">
        <v>1933</v>
      </c>
      <c r="W8" t="s">
        <v>1822</v>
      </c>
      <c r="X8" t="s">
        <v>1934</v>
      </c>
      <c r="Y8" t="s">
        <v>1935</v>
      </c>
      <c r="Z8" t="s">
        <v>1822</v>
      </c>
      <c r="AA8" t="s">
        <v>1822</v>
      </c>
      <c r="AB8" s="3">
        <v>46149.7395138889</v>
      </c>
    </row>
    <row r="9" ht="38.25" customHeight="1" spans="1:28">
      <c r="A9" t="s">
        <v>1936</v>
      </c>
      <c r="C9" t="s">
        <v>280</v>
      </c>
      <c r="D9" t="s">
        <v>1937</v>
      </c>
      <c r="E9" t="s">
        <v>1938</v>
      </c>
      <c r="F9" t="s">
        <v>1939</v>
      </c>
      <c r="G9" t="s">
        <v>1940</v>
      </c>
      <c r="H9" t="s">
        <v>1941</v>
      </c>
      <c r="I9" t="s">
        <v>1942</v>
      </c>
      <c r="J9" t="s">
        <v>1943</v>
      </c>
      <c r="K9" t="s">
        <v>1944</v>
      </c>
      <c r="M9" t="s">
        <v>1824</v>
      </c>
      <c r="N9" t="s">
        <v>1945</v>
      </c>
      <c r="O9" t="s">
        <v>286</v>
      </c>
      <c r="P9" t="s">
        <v>1853</v>
      </c>
      <c r="Q9" t="s">
        <v>1853</v>
      </c>
      <c r="R9" t="s">
        <v>1853</v>
      </c>
      <c r="S9" t="s">
        <v>1829</v>
      </c>
      <c r="T9" t="s">
        <v>1946</v>
      </c>
      <c r="U9" t="s">
        <v>1947</v>
      </c>
      <c r="V9" t="s">
        <v>1948</v>
      </c>
      <c r="W9" t="s">
        <v>1822</v>
      </c>
      <c r="X9" t="s">
        <v>1949</v>
      </c>
      <c r="Y9" t="s">
        <v>1822</v>
      </c>
      <c r="Z9" t="s">
        <v>1822</v>
      </c>
      <c r="AA9" t="s">
        <v>1822</v>
      </c>
      <c r="AB9" s="3">
        <v>46149.7395138889</v>
      </c>
    </row>
    <row r="10" ht="38.25" customHeight="1" spans="1:28">
      <c r="A10" t="s">
        <v>1950</v>
      </c>
      <c r="C10" t="s">
        <v>1951</v>
      </c>
      <c r="D10" t="s">
        <v>1952</v>
      </c>
      <c r="E10" t="s">
        <v>1953</v>
      </c>
      <c r="F10" t="s">
        <v>1954</v>
      </c>
      <c r="G10" t="s">
        <v>1955</v>
      </c>
      <c r="H10" t="s">
        <v>1822</v>
      </c>
      <c r="I10" t="s">
        <v>1822</v>
      </c>
      <c r="M10" t="s">
        <v>1824</v>
      </c>
      <c r="N10" t="s">
        <v>1931</v>
      </c>
      <c r="O10" t="s">
        <v>1931</v>
      </c>
      <c r="P10" t="s">
        <v>1931</v>
      </c>
      <c r="Q10" t="s">
        <v>1931</v>
      </c>
      <c r="R10" t="s">
        <v>1931</v>
      </c>
      <c r="S10" t="s">
        <v>1956</v>
      </c>
      <c r="T10" t="s">
        <v>1931</v>
      </c>
      <c r="U10" t="s">
        <v>1957</v>
      </c>
      <c r="V10" t="s">
        <v>1958</v>
      </c>
      <c r="W10" t="s">
        <v>1959</v>
      </c>
      <c r="X10" t="s">
        <v>1960</v>
      </c>
      <c r="Y10" t="s">
        <v>1961</v>
      </c>
      <c r="Z10" t="s">
        <v>1822</v>
      </c>
      <c r="AA10" t="s">
        <v>1822</v>
      </c>
      <c r="AB10" s="3">
        <v>46149.7395138889</v>
      </c>
    </row>
    <row r="11" ht="38.25" customHeight="1" spans="1:28">
      <c r="A11" t="s">
        <v>1962</v>
      </c>
      <c r="B11" t="s">
        <v>1963</v>
      </c>
      <c r="C11" t="s">
        <v>1926</v>
      </c>
      <c r="D11" t="s">
        <v>1964</v>
      </c>
      <c r="E11" t="s">
        <v>1965</v>
      </c>
      <c r="F11" t="s">
        <v>1966</v>
      </c>
      <c r="G11" t="s">
        <v>1967</v>
      </c>
      <c r="H11" t="s">
        <v>1968</v>
      </c>
      <c r="I11" t="s">
        <v>1969</v>
      </c>
      <c r="J11" t="s">
        <v>1970</v>
      </c>
      <c r="K11" t="s">
        <v>1971</v>
      </c>
      <c r="M11" t="s">
        <v>1824</v>
      </c>
      <c r="N11" t="s">
        <v>1972</v>
      </c>
      <c r="O11" t="s">
        <v>469</v>
      </c>
      <c r="P11" t="s">
        <v>1973</v>
      </c>
      <c r="Q11" t="s">
        <v>1974</v>
      </c>
      <c r="R11" t="s">
        <v>1975</v>
      </c>
      <c r="S11" t="s">
        <v>1829</v>
      </c>
      <c r="T11" t="s">
        <v>1976</v>
      </c>
      <c r="U11" t="s">
        <v>1977</v>
      </c>
      <c r="V11" t="s">
        <v>1822</v>
      </c>
      <c r="W11" t="s">
        <v>1978</v>
      </c>
      <c r="X11" t="s">
        <v>1979</v>
      </c>
      <c r="Y11" t="s">
        <v>1980</v>
      </c>
      <c r="Z11" t="s">
        <v>1822</v>
      </c>
      <c r="AA11" t="s">
        <v>1822</v>
      </c>
      <c r="AB11" s="3">
        <v>46149.7395138889</v>
      </c>
    </row>
    <row r="12" ht="38.25" customHeight="1" spans="1:28">
      <c r="A12" t="s">
        <v>1981</v>
      </c>
      <c r="B12" t="s">
        <v>1982</v>
      </c>
      <c r="C12" t="s">
        <v>236</v>
      </c>
      <c r="D12" t="s">
        <v>1983</v>
      </c>
      <c r="E12" t="s">
        <v>1984</v>
      </c>
      <c r="F12" t="s">
        <v>1985</v>
      </c>
      <c r="G12" t="s">
        <v>1986</v>
      </c>
      <c r="H12" t="s">
        <v>1987</v>
      </c>
      <c r="I12" t="s">
        <v>1988</v>
      </c>
      <c r="J12" t="s">
        <v>1989</v>
      </c>
      <c r="K12" t="s">
        <v>1990</v>
      </c>
      <c r="M12" t="s">
        <v>1824</v>
      </c>
      <c r="N12" t="s">
        <v>1991</v>
      </c>
      <c r="O12" t="s">
        <v>242</v>
      </c>
      <c r="P12" t="s">
        <v>1992</v>
      </c>
      <c r="Q12" t="s">
        <v>1993</v>
      </c>
      <c r="R12" t="s">
        <v>886</v>
      </c>
      <c r="S12" t="s">
        <v>1829</v>
      </c>
      <c r="T12" t="s">
        <v>1994</v>
      </c>
      <c r="U12" t="s">
        <v>1995</v>
      </c>
      <c r="V12" t="s">
        <v>1996</v>
      </c>
      <c r="W12" t="s">
        <v>1997</v>
      </c>
      <c r="X12" t="s">
        <v>1998</v>
      </c>
      <c r="Y12" t="s">
        <v>1822</v>
      </c>
      <c r="Z12" t="s">
        <v>1822</v>
      </c>
      <c r="AA12" t="s">
        <v>1999</v>
      </c>
      <c r="AB12" s="3">
        <v>46149.7395138889</v>
      </c>
    </row>
    <row r="13" ht="38.25" customHeight="1" spans="1:28">
      <c r="A13" t="s">
        <v>2000</v>
      </c>
      <c r="C13" t="s">
        <v>218</v>
      </c>
      <c r="D13" t="s">
        <v>2001</v>
      </c>
      <c r="E13" t="s">
        <v>2002</v>
      </c>
      <c r="F13" t="s">
        <v>2003</v>
      </c>
      <c r="G13" t="s">
        <v>2004</v>
      </c>
      <c r="H13" t="s">
        <v>1822</v>
      </c>
      <c r="I13" t="s">
        <v>1822</v>
      </c>
      <c r="K13" t="s">
        <v>1822</v>
      </c>
      <c r="L13" t="s">
        <v>1931</v>
      </c>
      <c r="M13" t="s">
        <v>1824</v>
      </c>
      <c r="N13" t="s">
        <v>1931</v>
      </c>
      <c r="O13" t="s">
        <v>1931</v>
      </c>
      <c r="P13" t="s">
        <v>1931</v>
      </c>
      <c r="Q13" t="s">
        <v>1931</v>
      </c>
      <c r="R13" t="s">
        <v>1931</v>
      </c>
      <c r="S13" t="s">
        <v>1829</v>
      </c>
      <c r="T13" t="s">
        <v>1931</v>
      </c>
      <c r="U13" t="s">
        <v>2005</v>
      </c>
      <c r="V13" t="s">
        <v>2006</v>
      </c>
      <c r="W13" t="s">
        <v>1822</v>
      </c>
      <c r="X13" t="s">
        <v>2007</v>
      </c>
      <c r="Y13" t="s">
        <v>1822</v>
      </c>
      <c r="Z13" t="s">
        <v>1822</v>
      </c>
      <c r="AA13" t="s">
        <v>2008</v>
      </c>
      <c r="AB13" s="3">
        <v>46149.7478587963</v>
      </c>
    </row>
    <row r="14" ht="38.25" customHeight="1" spans="1:28">
      <c r="A14" t="s">
        <v>2009</v>
      </c>
      <c r="C14" t="s">
        <v>2010</v>
      </c>
      <c r="D14" t="s">
        <v>2011</v>
      </c>
      <c r="E14" t="s">
        <v>2012</v>
      </c>
      <c r="F14" t="s">
        <v>2013</v>
      </c>
      <c r="G14" t="s">
        <v>2014</v>
      </c>
      <c r="H14" t="s">
        <v>2015</v>
      </c>
      <c r="I14" t="s">
        <v>2016</v>
      </c>
      <c r="J14" t="s">
        <v>2017</v>
      </c>
      <c r="K14" t="s">
        <v>2018</v>
      </c>
      <c r="M14" t="s">
        <v>1824</v>
      </c>
      <c r="N14" t="s">
        <v>2019</v>
      </c>
      <c r="O14" t="s">
        <v>391</v>
      </c>
      <c r="P14" t="s">
        <v>1975</v>
      </c>
      <c r="Q14" t="s">
        <v>2020</v>
      </c>
      <c r="R14" t="s">
        <v>1975</v>
      </c>
      <c r="S14" t="s">
        <v>1829</v>
      </c>
      <c r="T14" t="s">
        <v>2021</v>
      </c>
      <c r="U14" t="s">
        <v>2022</v>
      </c>
      <c r="V14" t="s">
        <v>2023</v>
      </c>
      <c r="W14" t="s">
        <v>2024</v>
      </c>
      <c r="X14" t="s">
        <v>2025</v>
      </c>
      <c r="Y14" t="s">
        <v>1822</v>
      </c>
      <c r="Z14" t="s">
        <v>1822</v>
      </c>
      <c r="AA14" t="s">
        <v>2026</v>
      </c>
      <c r="AB14" s="3">
        <v>46149.7395138889</v>
      </c>
    </row>
    <row r="15" ht="38.25" customHeight="1" spans="1:28">
      <c r="A15" t="s">
        <v>2027</v>
      </c>
      <c r="C15" t="s">
        <v>2028</v>
      </c>
      <c r="D15" t="s">
        <v>2029</v>
      </c>
      <c r="E15" t="s">
        <v>2030</v>
      </c>
      <c r="F15" t="s">
        <v>2031</v>
      </c>
      <c r="G15" t="s">
        <v>2032</v>
      </c>
      <c r="H15" t="s">
        <v>1822</v>
      </c>
      <c r="I15" t="s">
        <v>1822</v>
      </c>
      <c r="M15" t="s">
        <v>1824</v>
      </c>
      <c r="N15" t="s">
        <v>1822</v>
      </c>
      <c r="O15" t="s">
        <v>1822</v>
      </c>
      <c r="P15" t="s">
        <v>1822</v>
      </c>
      <c r="Q15" t="s">
        <v>1822</v>
      </c>
      <c r="R15" t="s">
        <v>1822</v>
      </c>
      <c r="S15" t="s">
        <v>1829</v>
      </c>
      <c r="T15" t="s">
        <v>1931</v>
      </c>
      <c r="U15" t="s">
        <v>2033</v>
      </c>
      <c r="V15" t="s">
        <v>1822</v>
      </c>
      <c r="W15" t="s">
        <v>1822</v>
      </c>
      <c r="X15" t="s">
        <v>2034</v>
      </c>
      <c r="Y15" t="s">
        <v>1822</v>
      </c>
      <c r="Z15" t="s">
        <v>1822</v>
      </c>
      <c r="AA15" t="s">
        <v>2035</v>
      </c>
      <c r="AB15" s="3">
        <v>46149.7395138889</v>
      </c>
    </row>
    <row r="16" ht="38.25" customHeight="1" spans="1:28">
      <c r="A16" t="s">
        <v>2036</v>
      </c>
      <c r="C16" t="s">
        <v>2037</v>
      </c>
      <c r="D16" t="s">
        <v>2038</v>
      </c>
      <c r="E16" t="s">
        <v>2039</v>
      </c>
      <c r="F16" t="s">
        <v>2040</v>
      </c>
      <c r="G16" t="s">
        <v>2041</v>
      </c>
      <c r="H16" t="s">
        <v>1822</v>
      </c>
      <c r="I16" t="s">
        <v>1822</v>
      </c>
      <c r="K16" t="s">
        <v>1822</v>
      </c>
      <c r="L16" t="s">
        <v>1931</v>
      </c>
      <c r="M16" t="s">
        <v>1824</v>
      </c>
      <c r="N16" t="s">
        <v>1931</v>
      </c>
      <c r="O16" t="s">
        <v>1931</v>
      </c>
      <c r="P16" t="s">
        <v>1931</v>
      </c>
      <c r="Q16" t="s">
        <v>1931</v>
      </c>
      <c r="R16" t="s">
        <v>1931</v>
      </c>
      <c r="S16" t="s">
        <v>1829</v>
      </c>
      <c r="T16" t="s">
        <v>1931</v>
      </c>
      <c r="U16" t="s">
        <v>2042</v>
      </c>
      <c r="V16" t="s">
        <v>1822</v>
      </c>
      <c r="W16" t="s">
        <v>1822</v>
      </c>
      <c r="X16" t="s">
        <v>1822</v>
      </c>
      <c r="Y16" t="s">
        <v>1822</v>
      </c>
      <c r="Z16" t="s">
        <v>1822</v>
      </c>
      <c r="AA16" t="s">
        <v>2043</v>
      </c>
      <c r="AB16" s="3">
        <v>46149.7478125</v>
      </c>
    </row>
    <row r="17" ht="38.25" customHeight="1" spans="1:28">
      <c r="A17" t="s">
        <v>2044</v>
      </c>
      <c r="B17" t="s">
        <v>2045</v>
      </c>
      <c r="C17" t="s">
        <v>488</v>
      </c>
      <c r="D17" t="s">
        <v>2046</v>
      </c>
      <c r="E17" t="s">
        <v>2047</v>
      </c>
      <c r="F17" t="s">
        <v>2048</v>
      </c>
      <c r="G17" t="s">
        <v>2049</v>
      </c>
      <c r="H17" t="s">
        <v>2050</v>
      </c>
      <c r="I17" t="s">
        <v>2051</v>
      </c>
      <c r="J17" t="s">
        <v>2052</v>
      </c>
      <c r="K17" t="s">
        <v>2053</v>
      </c>
      <c r="M17" t="s">
        <v>1824</v>
      </c>
      <c r="N17" t="s">
        <v>2054</v>
      </c>
      <c r="O17" t="s">
        <v>495</v>
      </c>
      <c r="P17" t="s">
        <v>2055</v>
      </c>
      <c r="Q17" t="s">
        <v>2056</v>
      </c>
      <c r="R17" t="s">
        <v>2057</v>
      </c>
      <c r="S17" t="s">
        <v>1829</v>
      </c>
      <c r="T17" t="s">
        <v>2058</v>
      </c>
      <c r="U17" t="s">
        <v>2059</v>
      </c>
      <c r="V17" t="s">
        <v>1822</v>
      </c>
      <c r="W17" t="s">
        <v>1822</v>
      </c>
      <c r="X17" t="s">
        <v>1822</v>
      </c>
      <c r="Y17" t="s">
        <v>1822</v>
      </c>
      <c r="Z17" t="s">
        <v>1822</v>
      </c>
      <c r="AA17" t="s">
        <v>2060</v>
      </c>
      <c r="AB17" s="3">
        <v>46149.7395138889</v>
      </c>
    </row>
    <row r="18" ht="38.25" customHeight="1" spans="1:28">
      <c r="A18" t="s">
        <v>2061</v>
      </c>
      <c r="C18" t="s">
        <v>506</v>
      </c>
      <c r="D18" t="s">
        <v>2062</v>
      </c>
      <c r="E18" t="s">
        <v>2063</v>
      </c>
      <c r="F18" t="s">
        <v>2064</v>
      </c>
      <c r="G18" t="s">
        <v>2065</v>
      </c>
      <c r="H18" t="s">
        <v>1822</v>
      </c>
      <c r="I18" t="s">
        <v>1822</v>
      </c>
      <c r="K18" t="s">
        <v>1822</v>
      </c>
      <c r="L18" t="s">
        <v>1931</v>
      </c>
      <c r="M18" t="s">
        <v>1824</v>
      </c>
      <c r="N18" t="s">
        <v>1931</v>
      </c>
      <c r="O18" t="s">
        <v>1931</v>
      </c>
      <c r="P18" t="s">
        <v>1931</v>
      </c>
      <c r="Q18" t="s">
        <v>1931</v>
      </c>
      <c r="R18" t="s">
        <v>1931</v>
      </c>
      <c r="S18" t="s">
        <v>1829</v>
      </c>
      <c r="T18" t="s">
        <v>1931</v>
      </c>
      <c r="U18" t="s">
        <v>2066</v>
      </c>
      <c r="V18" t="s">
        <v>1822</v>
      </c>
      <c r="W18" t="s">
        <v>1822</v>
      </c>
      <c r="X18" t="s">
        <v>2067</v>
      </c>
      <c r="Y18" t="s">
        <v>1822</v>
      </c>
      <c r="Z18" t="s">
        <v>1822</v>
      </c>
      <c r="AA18" t="s">
        <v>2068</v>
      </c>
      <c r="AB18" s="3">
        <v>46149.7478240741</v>
      </c>
    </row>
    <row r="19" ht="38.25" customHeight="1" spans="1:28">
      <c r="A19" t="s">
        <v>2069</v>
      </c>
      <c r="B19" t="s">
        <v>2070</v>
      </c>
      <c r="C19" t="s">
        <v>369</v>
      </c>
      <c r="D19" t="s">
        <v>2071</v>
      </c>
      <c r="E19" t="s">
        <v>2072</v>
      </c>
      <c r="F19" t="s">
        <v>2073</v>
      </c>
      <c r="G19" t="s">
        <v>2074</v>
      </c>
      <c r="H19" t="s">
        <v>2075</v>
      </c>
      <c r="I19" t="s">
        <v>2076</v>
      </c>
      <c r="J19" t="s">
        <v>2077</v>
      </c>
      <c r="K19" t="s">
        <v>2078</v>
      </c>
      <c r="M19" t="s">
        <v>1824</v>
      </c>
      <c r="N19" t="s">
        <v>2079</v>
      </c>
      <c r="O19" t="s">
        <v>375</v>
      </c>
      <c r="P19" t="s">
        <v>2080</v>
      </c>
      <c r="Q19" t="s">
        <v>2081</v>
      </c>
      <c r="R19" t="s">
        <v>2082</v>
      </c>
      <c r="S19" t="s">
        <v>1829</v>
      </c>
      <c r="T19" t="s">
        <v>2083</v>
      </c>
      <c r="U19" t="s">
        <v>2084</v>
      </c>
      <c r="V19" t="s">
        <v>2085</v>
      </c>
      <c r="W19" t="s">
        <v>2086</v>
      </c>
      <c r="X19" t="s">
        <v>2087</v>
      </c>
      <c r="Y19" t="s">
        <v>1822</v>
      </c>
      <c r="Z19" t="s">
        <v>1822</v>
      </c>
      <c r="AA19" t="s">
        <v>2088</v>
      </c>
      <c r="AB19" s="3">
        <v>46149.7395138889</v>
      </c>
    </row>
    <row r="20" ht="38.25" customHeight="1" spans="1:28">
      <c r="A20" t="s">
        <v>2089</v>
      </c>
      <c r="C20" t="s">
        <v>316</v>
      </c>
      <c r="D20" t="s">
        <v>2090</v>
      </c>
      <c r="E20" t="s">
        <v>2091</v>
      </c>
      <c r="F20" t="s">
        <v>2092</v>
      </c>
      <c r="G20" t="s">
        <v>2093</v>
      </c>
      <c r="H20" t="s">
        <v>1822</v>
      </c>
      <c r="I20" t="s">
        <v>1822</v>
      </c>
      <c r="M20" t="s">
        <v>1822</v>
      </c>
      <c r="N20" t="s">
        <v>1822</v>
      </c>
      <c r="O20" t="s">
        <v>1822</v>
      </c>
      <c r="P20" t="s">
        <v>1822</v>
      </c>
      <c r="Q20" t="s">
        <v>1822</v>
      </c>
      <c r="R20" t="s">
        <v>1822</v>
      </c>
      <c r="S20" t="s">
        <v>2094</v>
      </c>
      <c r="T20" t="s">
        <v>2095</v>
      </c>
      <c r="U20" t="s">
        <v>2096</v>
      </c>
      <c r="V20" t="s">
        <v>2097</v>
      </c>
      <c r="W20" t="s">
        <v>2098</v>
      </c>
      <c r="X20" t="s">
        <v>1822</v>
      </c>
      <c r="Y20" t="s">
        <v>2099</v>
      </c>
      <c r="Z20" t="s">
        <v>1822</v>
      </c>
      <c r="AA20" t="s">
        <v>2100</v>
      </c>
      <c r="AB20" s="3">
        <v>46149.7395138889</v>
      </c>
    </row>
    <row r="21" ht="38.25" customHeight="1" spans="1:28">
      <c r="A21" t="s">
        <v>2101</v>
      </c>
      <c r="C21" t="s">
        <v>316</v>
      </c>
      <c r="D21" t="s">
        <v>2102</v>
      </c>
      <c r="E21" t="s">
        <v>2103</v>
      </c>
      <c r="F21" t="s">
        <v>2104</v>
      </c>
      <c r="G21" t="s">
        <v>2105</v>
      </c>
      <c r="H21" t="s">
        <v>1822</v>
      </c>
      <c r="I21" t="s">
        <v>1822</v>
      </c>
      <c r="M21" t="s">
        <v>1822</v>
      </c>
      <c r="N21" t="s">
        <v>1822</v>
      </c>
      <c r="O21" t="s">
        <v>1822</v>
      </c>
      <c r="P21" t="s">
        <v>1822</v>
      </c>
      <c r="Q21" t="s">
        <v>1822</v>
      </c>
      <c r="R21" t="s">
        <v>1822</v>
      </c>
      <c r="S21" t="s">
        <v>2094</v>
      </c>
      <c r="T21" t="s">
        <v>2095</v>
      </c>
      <c r="U21" t="s">
        <v>2106</v>
      </c>
      <c r="V21" t="s">
        <v>2097</v>
      </c>
      <c r="W21" t="s">
        <v>2107</v>
      </c>
      <c r="X21" t="s">
        <v>2108</v>
      </c>
      <c r="Y21" t="s">
        <v>2099</v>
      </c>
      <c r="Z21" t="s">
        <v>1822</v>
      </c>
      <c r="AA21" t="s">
        <v>1822</v>
      </c>
      <c r="AB21" s="3">
        <v>46149.7395138889</v>
      </c>
    </row>
    <row r="22" ht="38.25" customHeight="1" spans="1:28">
      <c r="A22" t="s">
        <v>2109</v>
      </c>
      <c r="B22" t="s">
        <v>2110</v>
      </c>
      <c r="C22" t="s">
        <v>296</v>
      </c>
      <c r="D22" t="s">
        <v>2111</v>
      </c>
      <c r="E22" t="s">
        <v>2112</v>
      </c>
      <c r="F22" t="s">
        <v>2113</v>
      </c>
      <c r="G22" t="s">
        <v>2114</v>
      </c>
      <c r="H22" t="s">
        <v>2115</v>
      </c>
      <c r="I22" t="s">
        <v>2116</v>
      </c>
      <c r="J22" t="s">
        <v>2117</v>
      </c>
      <c r="K22" t="s">
        <v>2118</v>
      </c>
      <c r="M22" t="s">
        <v>1824</v>
      </c>
      <c r="N22" t="s">
        <v>2119</v>
      </c>
      <c r="O22" t="s">
        <v>303</v>
      </c>
      <c r="P22" t="s">
        <v>2120</v>
      </c>
      <c r="Q22" t="s">
        <v>2120</v>
      </c>
      <c r="R22" t="s">
        <v>2120</v>
      </c>
      <c r="S22" t="s">
        <v>1829</v>
      </c>
      <c r="T22" t="s">
        <v>2121</v>
      </c>
      <c r="U22" t="s">
        <v>2122</v>
      </c>
      <c r="V22" t="s">
        <v>1822</v>
      </c>
      <c r="W22" t="s">
        <v>1822</v>
      </c>
      <c r="X22" t="s">
        <v>2123</v>
      </c>
      <c r="Y22" t="s">
        <v>2124</v>
      </c>
      <c r="Z22" t="s">
        <v>1822</v>
      </c>
      <c r="AA22" t="s">
        <v>1822</v>
      </c>
      <c r="AB22" s="3">
        <v>46149.7395138889</v>
      </c>
    </row>
    <row r="23" ht="38.25" customHeight="1" spans="1:28">
      <c r="A23" t="s">
        <v>2125</v>
      </c>
      <c r="C23" t="s">
        <v>2126</v>
      </c>
      <c r="D23" t="s">
        <v>2127</v>
      </c>
      <c r="E23" t="s">
        <v>2128</v>
      </c>
      <c r="F23" t="s">
        <v>2129</v>
      </c>
      <c r="G23" t="s">
        <v>2130</v>
      </c>
      <c r="H23" t="s">
        <v>1822</v>
      </c>
      <c r="I23" t="s">
        <v>1822</v>
      </c>
      <c r="M23" t="s">
        <v>1824</v>
      </c>
      <c r="N23" t="s">
        <v>1822</v>
      </c>
      <c r="O23" t="s">
        <v>1822</v>
      </c>
      <c r="P23" t="s">
        <v>1931</v>
      </c>
      <c r="Q23" t="s">
        <v>1931</v>
      </c>
      <c r="R23" t="s">
        <v>1931</v>
      </c>
      <c r="S23" t="s">
        <v>1829</v>
      </c>
      <c r="T23" t="s">
        <v>1931</v>
      </c>
      <c r="U23" t="s">
        <v>2131</v>
      </c>
      <c r="V23" t="s">
        <v>1822</v>
      </c>
      <c r="X23" t="s">
        <v>2132</v>
      </c>
      <c r="Y23" t="s">
        <v>1822</v>
      </c>
      <c r="Z23" t="s">
        <v>1822</v>
      </c>
      <c r="AA23" t="s">
        <v>2133</v>
      </c>
      <c r="AB23" s="3">
        <v>46149.7395138889</v>
      </c>
    </row>
    <row r="24" ht="38.25" customHeight="1" spans="1:28">
      <c r="A24" t="s">
        <v>2134</v>
      </c>
      <c r="C24" t="s">
        <v>2135</v>
      </c>
      <c r="D24" t="s">
        <v>2136</v>
      </c>
      <c r="E24" t="s">
        <v>2137</v>
      </c>
      <c r="F24" t="s">
        <v>2138</v>
      </c>
      <c r="G24" t="s">
        <v>2139</v>
      </c>
      <c r="I24" t="s">
        <v>2140</v>
      </c>
      <c r="K24" t="s">
        <v>2141</v>
      </c>
      <c r="M24" t="s">
        <v>1824</v>
      </c>
      <c r="N24" t="s">
        <v>2141</v>
      </c>
      <c r="O24" t="s">
        <v>2141</v>
      </c>
      <c r="P24" t="s">
        <v>2141</v>
      </c>
      <c r="Q24" t="s">
        <v>2141</v>
      </c>
      <c r="R24" t="s">
        <v>2141</v>
      </c>
      <c r="S24" t="s">
        <v>1829</v>
      </c>
      <c r="T24" t="s">
        <v>2142</v>
      </c>
      <c r="U24" t="s">
        <v>2143</v>
      </c>
      <c r="V24" t="s">
        <v>1822</v>
      </c>
      <c r="W24" t="s">
        <v>1822</v>
      </c>
      <c r="X24" t="s">
        <v>1822</v>
      </c>
      <c r="Y24" t="s">
        <v>1822</v>
      </c>
      <c r="Z24" t="s">
        <v>1822</v>
      </c>
      <c r="AA24" t="s">
        <v>1822</v>
      </c>
      <c r="AB24" s="3">
        <v>46149.7395138889</v>
      </c>
    </row>
    <row r="25" ht="38.25" customHeight="1" spans="1:28">
      <c r="A25" t="s">
        <v>2144</v>
      </c>
      <c r="C25" t="s">
        <v>2145</v>
      </c>
      <c r="D25" t="s">
        <v>2146</v>
      </c>
      <c r="E25" t="s">
        <v>2147</v>
      </c>
      <c r="F25" t="s">
        <v>2148</v>
      </c>
      <c r="G25" t="s">
        <v>2149</v>
      </c>
      <c r="H25" t="s">
        <v>2150</v>
      </c>
      <c r="I25" t="s">
        <v>2151</v>
      </c>
      <c r="J25" t="s">
        <v>2152</v>
      </c>
      <c r="K25" t="s">
        <v>2153</v>
      </c>
      <c r="L25" t="s">
        <v>2154</v>
      </c>
      <c r="M25" t="s">
        <v>1822</v>
      </c>
      <c r="N25" t="s">
        <v>2155</v>
      </c>
      <c r="O25" t="s">
        <v>679</v>
      </c>
      <c r="P25" t="s">
        <v>2156</v>
      </c>
      <c r="Q25" t="s">
        <v>2157</v>
      </c>
      <c r="R25" t="s">
        <v>2120</v>
      </c>
      <c r="S25" t="s">
        <v>2158</v>
      </c>
      <c r="T25" t="s">
        <v>2159</v>
      </c>
      <c r="U25" t="s">
        <v>2160</v>
      </c>
      <c r="V25" t="s">
        <v>1822</v>
      </c>
      <c r="W25" t="s">
        <v>1822</v>
      </c>
      <c r="X25" t="s">
        <v>1822</v>
      </c>
      <c r="Y25" t="s">
        <v>1822</v>
      </c>
      <c r="Z25" t="s">
        <v>1822</v>
      </c>
      <c r="AA25" t="s">
        <v>2161</v>
      </c>
      <c r="AB25" s="3">
        <v>46149.7395138889</v>
      </c>
    </row>
    <row r="26" ht="38.25" customHeight="1" spans="1:28">
      <c r="A26" t="s">
        <v>2162</v>
      </c>
      <c r="C26" t="s">
        <v>631</v>
      </c>
      <c r="D26" t="s">
        <v>2163</v>
      </c>
      <c r="E26" t="s">
        <v>2164</v>
      </c>
      <c r="F26" t="s">
        <v>2165</v>
      </c>
      <c r="G26" t="s">
        <v>2166</v>
      </c>
      <c r="H26" t="s">
        <v>2167</v>
      </c>
      <c r="I26" t="s">
        <v>638</v>
      </c>
      <c r="J26" t="s">
        <v>2168</v>
      </c>
      <c r="K26" t="s">
        <v>2169</v>
      </c>
      <c r="L26" t="s">
        <v>2170</v>
      </c>
      <c r="M26" t="s">
        <v>1822</v>
      </c>
      <c r="N26" t="s">
        <v>2120</v>
      </c>
      <c r="O26" t="s">
        <v>2120</v>
      </c>
      <c r="P26" t="s">
        <v>2120</v>
      </c>
      <c r="Q26" t="s">
        <v>2120</v>
      </c>
      <c r="R26" t="s">
        <v>2120</v>
      </c>
      <c r="S26" t="s">
        <v>2171</v>
      </c>
      <c r="T26" t="s">
        <v>2172</v>
      </c>
      <c r="U26" t="s">
        <v>2173</v>
      </c>
      <c r="V26" t="s">
        <v>2174</v>
      </c>
      <c r="W26" t="s">
        <v>1822</v>
      </c>
      <c r="X26" t="s">
        <v>2175</v>
      </c>
      <c r="Y26" t="s">
        <v>2176</v>
      </c>
      <c r="Z26" t="s">
        <v>1822</v>
      </c>
      <c r="AA26" t="s">
        <v>1822</v>
      </c>
      <c r="AB26" s="3">
        <v>46149.7395138889</v>
      </c>
    </row>
    <row r="27" ht="38.25" customHeight="1" spans="1:28">
      <c r="A27" t="s">
        <v>2177</v>
      </c>
      <c r="C27" t="s">
        <v>2178</v>
      </c>
      <c r="D27" t="s">
        <v>2179</v>
      </c>
      <c r="E27" t="s">
        <v>2180</v>
      </c>
      <c r="F27" t="s">
        <v>2181</v>
      </c>
      <c r="G27" t="s">
        <v>2182</v>
      </c>
      <c r="H27" t="s">
        <v>1822</v>
      </c>
      <c r="I27" t="s">
        <v>1822</v>
      </c>
      <c r="K27" t="s">
        <v>1822</v>
      </c>
      <c r="M27" t="s">
        <v>1822</v>
      </c>
      <c r="N27" t="s">
        <v>1822</v>
      </c>
      <c r="O27" t="s">
        <v>1822</v>
      </c>
      <c r="P27" t="s">
        <v>1822</v>
      </c>
      <c r="Q27" t="s">
        <v>1822</v>
      </c>
      <c r="R27" t="s">
        <v>1822</v>
      </c>
      <c r="S27" t="s">
        <v>2183</v>
      </c>
      <c r="T27" t="s">
        <v>2184</v>
      </c>
      <c r="U27" t="s">
        <v>2185</v>
      </c>
      <c r="V27" t="s">
        <v>2186</v>
      </c>
      <c r="W27" t="s">
        <v>1822</v>
      </c>
      <c r="X27" t="s">
        <v>2187</v>
      </c>
      <c r="Y27" t="s">
        <v>1822</v>
      </c>
      <c r="Z27" t="s">
        <v>1822</v>
      </c>
      <c r="AA27" t="s">
        <v>1822</v>
      </c>
      <c r="AB27" s="3">
        <v>46149.7395138889</v>
      </c>
    </row>
    <row r="28" ht="38.25" customHeight="1" spans="1:28">
      <c r="A28" t="s">
        <v>2188</v>
      </c>
      <c r="C28" t="s">
        <v>2189</v>
      </c>
      <c r="D28" t="s">
        <v>2190</v>
      </c>
      <c r="E28" t="s">
        <v>2191</v>
      </c>
      <c r="F28" t="s">
        <v>2192</v>
      </c>
      <c r="G28" t="s">
        <v>2193</v>
      </c>
      <c r="H28" t="s">
        <v>1822</v>
      </c>
      <c r="I28" t="s">
        <v>1822</v>
      </c>
      <c r="M28" t="s">
        <v>1824</v>
      </c>
      <c r="N28" t="s">
        <v>1822</v>
      </c>
      <c r="O28" t="s">
        <v>1822</v>
      </c>
      <c r="P28" t="s">
        <v>1931</v>
      </c>
      <c r="Q28" t="s">
        <v>1931</v>
      </c>
      <c r="R28" t="s">
        <v>1931</v>
      </c>
      <c r="S28" t="s">
        <v>1829</v>
      </c>
      <c r="T28" t="s">
        <v>1931</v>
      </c>
      <c r="U28" t="s">
        <v>2194</v>
      </c>
      <c r="V28" t="s">
        <v>2195</v>
      </c>
      <c r="W28" t="s">
        <v>1822</v>
      </c>
      <c r="X28" t="s">
        <v>2194</v>
      </c>
      <c r="Y28" t="s">
        <v>1822</v>
      </c>
      <c r="Z28" t="s">
        <v>1822</v>
      </c>
      <c r="AA28" t="s">
        <v>1822</v>
      </c>
      <c r="AB28" s="3">
        <v>46149.7395138889</v>
      </c>
    </row>
    <row r="29" ht="38.25" customHeight="1" spans="1:28">
      <c r="A29" t="s">
        <v>711</v>
      </c>
      <c r="B29" t="s">
        <v>2196</v>
      </c>
      <c r="C29" t="s">
        <v>715</v>
      </c>
      <c r="D29" t="s">
        <v>2197</v>
      </c>
      <c r="E29" t="s">
        <v>2198</v>
      </c>
      <c r="F29" t="s">
        <v>2199</v>
      </c>
      <c r="G29" t="s">
        <v>2200</v>
      </c>
      <c r="H29" t="s">
        <v>2201</v>
      </c>
      <c r="I29" t="s">
        <v>2202</v>
      </c>
      <c r="J29" t="s">
        <v>2203</v>
      </c>
      <c r="K29" t="s">
        <v>2204</v>
      </c>
      <c r="M29" t="s">
        <v>1824</v>
      </c>
      <c r="N29" t="s">
        <v>2204</v>
      </c>
      <c r="O29" t="s">
        <v>720</v>
      </c>
      <c r="P29" t="s">
        <v>2205</v>
      </c>
      <c r="Q29" t="s">
        <v>2206</v>
      </c>
      <c r="R29" t="s">
        <v>886</v>
      </c>
      <c r="S29" t="s">
        <v>1829</v>
      </c>
      <c r="T29" t="s">
        <v>2207</v>
      </c>
      <c r="U29" t="s">
        <v>2208</v>
      </c>
      <c r="V29" t="s">
        <v>1822</v>
      </c>
      <c r="W29" t="s">
        <v>1822</v>
      </c>
      <c r="X29" t="s">
        <v>1822</v>
      </c>
      <c r="Y29" t="s">
        <v>2209</v>
      </c>
      <c r="Z29" t="s">
        <v>1822</v>
      </c>
      <c r="AA29" t="s">
        <v>1822</v>
      </c>
      <c r="AB29" s="3">
        <v>46149.7395138889</v>
      </c>
    </row>
    <row r="30" ht="38.25" customHeight="1" spans="1:28">
      <c r="A30" t="s">
        <v>43</v>
      </c>
      <c r="B30" t="s">
        <v>2210</v>
      </c>
      <c r="C30" t="s">
        <v>731</v>
      </c>
      <c r="D30" t="s">
        <v>2211</v>
      </c>
      <c r="E30" t="s">
        <v>2212</v>
      </c>
      <c r="F30" t="s">
        <v>2213</v>
      </c>
      <c r="G30" t="s">
        <v>2214</v>
      </c>
      <c r="H30" t="s">
        <v>2215</v>
      </c>
      <c r="I30" t="s">
        <v>735</v>
      </c>
      <c r="J30" t="s">
        <v>2216</v>
      </c>
      <c r="K30" t="s">
        <v>2217</v>
      </c>
      <c r="M30" t="s">
        <v>1824</v>
      </c>
      <c r="N30" t="s">
        <v>2218</v>
      </c>
      <c r="O30" t="s">
        <v>736</v>
      </c>
      <c r="P30" t="s">
        <v>886</v>
      </c>
      <c r="Q30" t="s">
        <v>2219</v>
      </c>
      <c r="R30" t="s">
        <v>2220</v>
      </c>
      <c r="S30" t="s">
        <v>1829</v>
      </c>
      <c r="T30" t="s">
        <v>2083</v>
      </c>
      <c r="U30" t="s">
        <v>2221</v>
      </c>
      <c r="V30" t="s">
        <v>2222</v>
      </c>
      <c r="W30" t="s">
        <v>1822</v>
      </c>
      <c r="X30" t="s">
        <v>2223</v>
      </c>
      <c r="Y30" t="s">
        <v>1822</v>
      </c>
      <c r="Z30" t="s">
        <v>1822</v>
      </c>
      <c r="AA30" t="s">
        <v>1822</v>
      </c>
      <c r="AB30" s="3">
        <v>46149.7395138889</v>
      </c>
    </row>
    <row r="31" ht="38.25" customHeight="1" spans="1:28">
      <c r="A31" t="s">
        <v>2224</v>
      </c>
      <c r="C31" t="s">
        <v>2225</v>
      </c>
      <c r="D31" t="s">
        <v>2226</v>
      </c>
      <c r="E31" t="s">
        <v>2227</v>
      </c>
      <c r="F31" t="s">
        <v>2228</v>
      </c>
      <c r="G31" t="s">
        <v>2229</v>
      </c>
      <c r="H31" t="s">
        <v>1822</v>
      </c>
      <c r="I31" t="s">
        <v>1822</v>
      </c>
      <c r="M31" t="s">
        <v>1822</v>
      </c>
      <c r="N31" t="s">
        <v>1931</v>
      </c>
      <c r="O31" t="s">
        <v>1931</v>
      </c>
      <c r="P31" t="s">
        <v>1931</v>
      </c>
      <c r="Q31" t="s">
        <v>1931</v>
      </c>
      <c r="R31" t="s">
        <v>1931</v>
      </c>
      <c r="S31" t="s">
        <v>2230</v>
      </c>
      <c r="U31" t="s">
        <v>2231</v>
      </c>
      <c r="V31" t="s">
        <v>2232</v>
      </c>
      <c r="W31" t="s">
        <v>2233</v>
      </c>
      <c r="X31" t="s">
        <v>2234</v>
      </c>
      <c r="Y31" t="s">
        <v>2235</v>
      </c>
      <c r="Z31" t="s">
        <v>1822</v>
      </c>
      <c r="AA31" t="s">
        <v>2236</v>
      </c>
      <c r="AB31" s="3">
        <v>46149.7395138889</v>
      </c>
    </row>
    <row r="32" ht="38.25" customHeight="1" spans="1:28">
      <c r="A32" t="s">
        <v>2237</v>
      </c>
      <c r="C32" t="s">
        <v>2238</v>
      </c>
      <c r="D32" t="s">
        <v>2239</v>
      </c>
      <c r="E32" t="s">
        <v>2240</v>
      </c>
      <c r="F32" t="s">
        <v>2241</v>
      </c>
      <c r="G32" t="s">
        <v>2242</v>
      </c>
      <c r="H32" t="s">
        <v>2243</v>
      </c>
      <c r="I32" t="s">
        <v>2244</v>
      </c>
      <c r="M32" t="s">
        <v>1822</v>
      </c>
      <c r="N32" t="s">
        <v>886</v>
      </c>
      <c r="O32" t="s">
        <v>886</v>
      </c>
      <c r="T32" t="s">
        <v>2245</v>
      </c>
      <c r="U32" t="s">
        <v>2246</v>
      </c>
      <c r="V32" t="s">
        <v>1822</v>
      </c>
      <c r="W32" t="s">
        <v>1822</v>
      </c>
      <c r="X32" t="s">
        <v>2247</v>
      </c>
      <c r="Y32" t="s">
        <v>1822</v>
      </c>
      <c r="Z32" t="s">
        <v>1822</v>
      </c>
      <c r="AA32" t="s">
        <v>2248</v>
      </c>
      <c r="AB32" s="3">
        <v>46149.7395138889</v>
      </c>
    </row>
    <row r="33" ht="38.25" customHeight="1" spans="1:28">
      <c r="A33" t="s">
        <v>2249</v>
      </c>
      <c r="C33" t="s">
        <v>2250</v>
      </c>
      <c r="D33" t="s">
        <v>2251</v>
      </c>
      <c r="E33" t="s">
        <v>2252</v>
      </c>
      <c r="F33" t="s">
        <v>2253</v>
      </c>
      <c r="G33" t="s">
        <v>2254</v>
      </c>
      <c r="H33" t="s">
        <v>1822</v>
      </c>
      <c r="I33" t="s">
        <v>1822</v>
      </c>
      <c r="M33" t="s">
        <v>1822</v>
      </c>
      <c r="U33" t="s">
        <v>2255</v>
      </c>
      <c r="V33" t="s">
        <v>2256</v>
      </c>
      <c r="W33" t="s">
        <v>2257</v>
      </c>
      <c r="X33" t="s">
        <v>2258</v>
      </c>
      <c r="Y33" t="s">
        <v>2259</v>
      </c>
      <c r="Z33" t="s">
        <v>1822</v>
      </c>
      <c r="AA33" t="s">
        <v>2260</v>
      </c>
      <c r="AB33" s="3">
        <v>46149.7395138889</v>
      </c>
    </row>
    <row r="34" ht="38.25" customHeight="1" spans="1:28">
      <c r="A34" t="s">
        <v>78</v>
      </c>
      <c r="C34" t="s">
        <v>650</v>
      </c>
      <c r="D34" t="s">
        <v>2261</v>
      </c>
      <c r="E34" t="s">
        <v>2262</v>
      </c>
      <c r="F34" t="s">
        <v>2263</v>
      </c>
      <c r="G34" t="s">
        <v>2264</v>
      </c>
      <c r="H34" t="s">
        <v>2265</v>
      </c>
      <c r="I34" t="s">
        <v>2266</v>
      </c>
      <c r="J34" t="s">
        <v>2267</v>
      </c>
      <c r="M34" t="s">
        <v>1822</v>
      </c>
      <c r="N34" t="s">
        <v>692</v>
      </c>
      <c r="O34" t="s">
        <v>692</v>
      </c>
      <c r="P34" t="s">
        <v>692</v>
      </c>
      <c r="Q34" t="s">
        <v>692</v>
      </c>
      <c r="R34" t="s">
        <v>692</v>
      </c>
      <c r="S34" t="s">
        <v>2230</v>
      </c>
      <c r="T34" t="s">
        <v>2268</v>
      </c>
      <c r="U34" t="s">
        <v>2269</v>
      </c>
      <c r="V34" t="s">
        <v>1822</v>
      </c>
      <c r="W34" t="s">
        <v>1822</v>
      </c>
      <c r="X34" t="s">
        <v>2270</v>
      </c>
      <c r="Y34" t="s">
        <v>1822</v>
      </c>
      <c r="Z34" t="s">
        <v>1822</v>
      </c>
      <c r="AA34" t="s">
        <v>1822</v>
      </c>
      <c r="AB34" s="3">
        <v>46149.7395138889</v>
      </c>
    </row>
    <row r="35" ht="38.25" customHeight="1" spans="1:28">
      <c r="A35" t="s">
        <v>2271</v>
      </c>
      <c r="C35" t="s">
        <v>825</v>
      </c>
      <c r="D35" t="s">
        <v>2272</v>
      </c>
      <c r="F35" t="s">
        <v>2273</v>
      </c>
      <c r="G35" t="s">
        <v>2274</v>
      </c>
      <c r="I35" t="s">
        <v>2275</v>
      </c>
      <c r="N35" t="s">
        <v>2276</v>
      </c>
      <c r="O35" t="s">
        <v>831</v>
      </c>
      <c r="R35" t="s">
        <v>2277</v>
      </c>
      <c r="S35" t="s">
        <v>2278</v>
      </c>
      <c r="U35" t="s">
        <v>2279</v>
      </c>
      <c r="V35" t="s">
        <v>2280</v>
      </c>
      <c r="W35" t="s">
        <v>1822</v>
      </c>
      <c r="X35" t="s">
        <v>2281</v>
      </c>
      <c r="Y35" t="s">
        <v>1822</v>
      </c>
      <c r="Z35" t="s">
        <v>1822</v>
      </c>
      <c r="AA35" t="s">
        <v>1822</v>
      </c>
      <c r="AB35" s="3">
        <v>46149.7395138889</v>
      </c>
    </row>
    <row r="36" ht="38.25" customHeight="1" spans="1:28">
      <c r="A36" t="s">
        <v>2282</v>
      </c>
      <c r="C36" t="s">
        <v>744</v>
      </c>
      <c r="D36" t="s">
        <v>2283</v>
      </c>
      <c r="E36" t="s">
        <v>2284</v>
      </c>
      <c r="F36" t="s">
        <v>2285</v>
      </c>
      <c r="G36" t="s">
        <v>2286</v>
      </c>
      <c r="H36" t="s">
        <v>1822</v>
      </c>
      <c r="I36" t="s">
        <v>1822</v>
      </c>
      <c r="K36" t="s">
        <v>1822</v>
      </c>
      <c r="M36" t="s">
        <v>1822</v>
      </c>
      <c r="S36" t="s">
        <v>2287</v>
      </c>
      <c r="U36" t="s">
        <v>2288</v>
      </c>
      <c r="V36" t="s">
        <v>2289</v>
      </c>
      <c r="W36" t="s">
        <v>2290</v>
      </c>
      <c r="X36" t="s">
        <v>2291</v>
      </c>
      <c r="Y36" t="s">
        <v>1822</v>
      </c>
      <c r="Z36" t="s">
        <v>1822</v>
      </c>
      <c r="AA36" t="s">
        <v>2292</v>
      </c>
      <c r="AB36" s="3">
        <v>46149.7395138889</v>
      </c>
    </row>
    <row r="37" ht="38.25" customHeight="1" spans="1:28">
      <c r="A37" t="s">
        <v>2293</v>
      </c>
      <c r="D37" t="s">
        <v>2294</v>
      </c>
      <c r="E37" t="s">
        <v>2295</v>
      </c>
      <c r="F37" t="s">
        <v>2296</v>
      </c>
      <c r="G37" t="s">
        <v>2297</v>
      </c>
      <c r="H37" t="s">
        <v>2298</v>
      </c>
      <c r="I37" t="s">
        <v>1822</v>
      </c>
      <c r="K37" t="s">
        <v>2120</v>
      </c>
      <c r="N37" t="s">
        <v>2299</v>
      </c>
      <c r="O37" t="s">
        <v>693</v>
      </c>
      <c r="P37" t="s">
        <v>692</v>
      </c>
      <c r="Q37" t="s">
        <v>692</v>
      </c>
      <c r="R37" t="s">
        <v>692</v>
      </c>
      <c r="S37" t="s">
        <v>2300</v>
      </c>
      <c r="T37" t="s">
        <v>2301</v>
      </c>
      <c r="U37" t="s">
        <v>2302</v>
      </c>
      <c r="V37" t="s">
        <v>2303</v>
      </c>
      <c r="W37" t="s">
        <v>2304</v>
      </c>
      <c r="X37" t="s">
        <v>1822</v>
      </c>
      <c r="Y37" t="s">
        <v>2305</v>
      </c>
      <c r="Z37" t="s">
        <v>1822</v>
      </c>
      <c r="AA37" t="s">
        <v>2306</v>
      </c>
      <c r="AB37" s="3">
        <v>46149.7395138889</v>
      </c>
    </row>
    <row r="38" ht="38.25" customHeight="1" spans="1:28">
      <c r="A38" t="s">
        <v>80</v>
      </c>
      <c r="C38" t="s">
        <v>701</v>
      </c>
      <c r="D38" t="s">
        <v>2307</v>
      </c>
      <c r="E38" t="s">
        <v>2308</v>
      </c>
      <c r="F38" t="s">
        <v>2309</v>
      </c>
      <c r="G38" t="s">
        <v>2310</v>
      </c>
      <c r="H38" t="s">
        <v>1822</v>
      </c>
      <c r="I38" t="s">
        <v>1822</v>
      </c>
      <c r="K38" t="s">
        <v>1822</v>
      </c>
      <c r="M38" t="s">
        <v>1824</v>
      </c>
      <c r="P38" t="s">
        <v>1931</v>
      </c>
      <c r="Q38" t="s">
        <v>1931</v>
      </c>
      <c r="R38" t="s">
        <v>1931</v>
      </c>
      <c r="S38" t="s">
        <v>1829</v>
      </c>
      <c r="T38" t="s">
        <v>1931</v>
      </c>
      <c r="U38" t="s">
        <v>2311</v>
      </c>
      <c r="V38" t="s">
        <v>1822</v>
      </c>
      <c r="W38" t="s">
        <v>2312</v>
      </c>
      <c r="X38" t="s">
        <v>1822</v>
      </c>
      <c r="Y38" t="s">
        <v>1822</v>
      </c>
      <c r="Z38" t="s">
        <v>1822</v>
      </c>
      <c r="AA38" t="s">
        <v>1822</v>
      </c>
      <c r="AB38" s="3">
        <v>46149.7395138889</v>
      </c>
    </row>
    <row r="39" ht="38.25" customHeight="1" spans="1:28">
      <c r="A39" t="s">
        <v>81</v>
      </c>
      <c r="C39" t="s">
        <v>790</v>
      </c>
      <c r="D39" t="s">
        <v>2313</v>
      </c>
      <c r="E39" t="s">
        <v>2314</v>
      </c>
      <c r="F39" t="s">
        <v>2315</v>
      </c>
      <c r="G39" t="s">
        <v>2316</v>
      </c>
      <c r="H39" t="s">
        <v>1822</v>
      </c>
      <c r="I39" t="s">
        <v>1822</v>
      </c>
      <c r="K39" t="s">
        <v>1822</v>
      </c>
      <c r="M39" t="s">
        <v>1822</v>
      </c>
      <c r="P39" t="s">
        <v>1931</v>
      </c>
      <c r="Q39" t="s">
        <v>1931</v>
      </c>
      <c r="R39" t="s">
        <v>1931</v>
      </c>
      <c r="S39" t="s">
        <v>1829</v>
      </c>
      <c r="T39" t="s">
        <v>2317</v>
      </c>
      <c r="U39" t="s">
        <v>2318</v>
      </c>
      <c r="V39" t="s">
        <v>2319</v>
      </c>
      <c r="W39" t="s">
        <v>1822</v>
      </c>
      <c r="X39" t="s">
        <v>2320</v>
      </c>
      <c r="Y39" t="s">
        <v>1822</v>
      </c>
      <c r="Z39" t="s">
        <v>1822</v>
      </c>
      <c r="AA39" t="s">
        <v>1822</v>
      </c>
      <c r="AB39" s="3">
        <v>46149.7395138889</v>
      </c>
    </row>
    <row r="40" ht="38.25" customHeight="1" spans="1:28">
      <c r="A40" t="s">
        <v>86</v>
      </c>
      <c r="C40" t="s">
        <v>798</v>
      </c>
      <c r="D40" t="s">
        <v>2321</v>
      </c>
      <c r="E40" t="s">
        <v>2322</v>
      </c>
      <c r="F40" t="s">
        <v>2323</v>
      </c>
      <c r="G40" t="s">
        <v>2324</v>
      </c>
      <c r="I40" t="s">
        <v>802</v>
      </c>
      <c r="K40" t="s">
        <v>2325</v>
      </c>
      <c r="L40" t="s">
        <v>2325</v>
      </c>
      <c r="M40" t="s">
        <v>1822</v>
      </c>
      <c r="N40" t="s">
        <v>2325</v>
      </c>
      <c r="O40" t="s">
        <v>2325</v>
      </c>
      <c r="P40" t="s">
        <v>2325</v>
      </c>
      <c r="Q40" t="s">
        <v>2325</v>
      </c>
      <c r="R40" t="s">
        <v>2325</v>
      </c>
      <c r="S40" t="s">
        <v>2325</v>
      </c>
      <c r="T40" t="s">
        <v>2207</v>
      </c>
      <c r="U40" t="s">
        <v>2326</v>
      </c>
      <c r="V40" t="s">
        <v>2327</v>
      </c>
      <c r="X40" t="s">
        <v>2328</v>
      </c>
      <c r="Y40" t="s">
        <v>1822</v>
      </c>
      <c r="Z40" t="s">
        <v>1822</v>
      </c>
      <c r="AA40" t="s">
        <v>1822</v>
      </c>
      <c r="AB40" s="3">
        <v>46149.7477083333</v>
      </c>
    </row>
    <row r="41" ht="38.25" customHeight="1" spans="1:28">
      <c r="A41" t="s">
        <v>88</v>
      </c>
      <c r="C41" t="s">
        <v>2329</v>
      </c>
      <c r="D41" t="s">
        <v>2330</v>
      </c>
      <c r="E41" t="s">
        <v>2331</v>
      </c>
      <c r="G41" t="s">
        <v>2332</v>
      </c>
      <c r="H41" t="s">
        <v>2333</v>
      </c>
      <c r="I41" t="s">
        <v>815</v>
      </c>
      <c r="K41" t="s">
        <v>2120</v>
      </c>
      <c r="L41" t="s">
        <v>2120</v>
      </c>
      <c r="M41" t="s">
        <v>1822</v>
      </c>
      <c r="N41" t="s">
        <v>2120</v>
      </c>
      <c r="O41" t="s">
        <v>2120</v>
      </c>
      <c r="P41" t="s">
        <v>2120</v>
      </c>
      <c r="Q41" t="s">
        <v>2120</v>
      </c>
      <c r="R41" t="s">
        <v>2120</v>
      </c>
      <c r="S41" t="s">
        <v>2334</v>
      </c>
      <c r="T41" t="s">
        <v>2335</v>
      </c>
      <c r="U41" t="s">
        <v>2336</v>
      </c>
      <c r="V41" t="s">
        <v>2337</v>
      </c>
      <c r="W41" t="s">
        <v>2338</v>
      </c>
      <c r="X41" t="s">
        <v>2339</v>
      </c>
      <c r="Y41" t="s">
        <v>1822</v>
      </c>
      <c r="Z41" t="s">
        <v>1822</v>
      </c>
      <c r="AA41" t="s">
        <v>2340</v>
      </c>
      <c r="AB41" s="3">
        <v>46149.7477083333</v>
      </c>
    </row>
    <row r="42" ht="38.25" customHeight="1" spans="1:28">
      <c r="A42" t="s">
        <v>911</v>
      </c>
      <c r="C42" t="s">
        <v>914</v>
      </c>
      <c r="D42" t="s">
        <v>2341</v>
      </c>
      <c r="E42" t="s">
        <v>2342</v>
      </c>
      <c r="F42" t="s">
        <v>2343</v>
      </c>
      <c r="G42" t="s">
        <v>2344</v>
      </c>
      <c r="H42" t="s">
        <v>1822</v>
      </c>
      <c r="K42" t="s">
        <v>1822</v>
      </c>
      <c r="L42" t="s">
        <v>1822</v>
      </c>
      <c r="M42" t="s">
        <v>1822</v>
      </c>
      <c r="O42" t="s">
        <v>1822</v>
      </c>
      <c r="P42" t="s">
        <v>2345</v>
      </c>
      <c r="Q42" t="s">
        <v>2346</v>
      </c>
      <c r="R42" t="s">
        <v>1822</v>
      </c>
      <c r="S42" t="s">
        <v>2347</v>
      </c>
      <c r="T42" t="s">
        <v>2348</v>
      </c>
      <c r="U42" t="s">
        <v>2349</v>
      </c>
      <c r="V42" t="s">
        <v>2350</v>
      </c>
      <c r="Y42" t="s">
        <v>2351</v>
      </c>
      <c r="Z42" t="s">
        <v>1822</v>
      </c>
      <c r="AB42" s="3">
        <v>46149.608125</v>
      </c>
    </row>
    <row r="43" ht="38.25" customHeight="1" spans="1:28">
      <c r="A43" t="s">
        <v>2352</v>
      </c>
      <c r="C43" t="s">
        <v>2353</v>
      </c>
      <c r="D43" t="s">
        <v>2354</v>
      </c>
      <c r="E43" t="s">
        <v>2355</v>
      </c>
      <c r="F43" t="s">
        <v>2356</v>
      </c>
      <c r="G43" t="s">
        <v>2357</v>
      </c>
      <c r="S43" t="s">
        <v>1829</v>
      </c>
      <c r="T43" t="s">
        <v>2358</v>
      </c>
      <c r="U43" t="s">
        <v>2359</v>
      </c>
      <c r="V43" t="s">
        <v>2360</v>
      </c>
      <c r="AB43" s="3">
        <v>46149.610775463</v>
      </c>
    </row>
    <row r="44" ht="38.25" customHeight="1" spans="1:28">
      <c r="A44" t="s">
        <v>2361</v>
      </c>
      <c r="B44" t="s">
        <v>2362</v>
      </c>
      <c r="C44" t="s">
        <v>886</v>
      </c>
      <c r="D44" t="s">
        <v>2363</v>
      </c>
      <c r="E44" t="s">
        <v>2364</v>
      </c>
      <c r="F44" t="s">
        <v>2365</v>
      </c>
      <c r="G44" t="s">
        <v>2366</v>
      </c>
      <c r="H44" t="s">
        <v>1822</v>
      </c>
      <c r="K44" t="s">
        <v>1822</v>
      </c>
      <c r="S44" t="s">
        <v>1829</v>
      </c>
      <c r="T44" t="s">
        <v>2367</v>
      </c>
      <c r="AB44" s="3">
        <v>46149.7395138889</v>
      </c>
    </row>
    <row r="45" ht="38.25" customHeight="1" spans="1:28">
      <c r="A45" t="s">
        <v>1461</v>
      </c>
      <c r="C45" t="s">
        <v>2368</v>
      </c>
      <c r="D45" t="s">
        <v>2369</v>
      </c>
      <c r="E45" t="s">
        <v>2370</v>
      </c>
      <c r="F45" t="s">
        <v>2371</v>
      </c>
      <c r="G45" t="s">
        <v>2372</v>
      </c>
      <c r="H45" t="s">
        <v>2373</v>
      </c>
      <c r="I45" t="s">
        <v>2374</v>
      </c>
      <c r="N45" t="s">
        <v>2375</v>
      </c>
      <c r="O45" t="s">
        <v>2376</v>
      </c>
      <c r="R45" t="s">
        <v>2377</v>
      </c>
      <c r="T45" t="s">
        <v>2378</v>
      </c>
      <c r="AB45" s="3">
        <v>46149.6243402778</v>
      </c>
    </row>
    <row r="46" ht="38.25" customHeight="1" spans="1:28">
      <c r="A46" t="s">
        <v>99</v>
      </c>
      <c r="C46" t="s">
        <v>2379</v>
      </c>
      <c r="D46" t="s">
        <v>2380</v>
      </c>
      <c r="E46" t="s">
        <v>2381</v>
      </c>
      <c r="F46" t="s">
        <v>2382</v>
      </c>
      <c r="G46" t="s">
        <v>2383</v>
      </c>
      <c r="H46" t="s">
        <v>2384</v>
      </c>
      <c r="I46" t="s">
        <v>2385</v>
      </c>
      <c r="O46" t="s">
        <v>2386</v>
      </c>
      <c r="R46" t="s">
        <v>2387</v>
      </c>
      <c r="S46" t="s">
        <v>2388</v>
      </c>
      <c r="T46" t="s">
        <v>2389</v>
      </c>
      <c r="AB46" s="3">
        <v>46149.625775463</v>
      </c>
    </row>
    <row r="47" ht="38.25" customHeight="1" spans="1:28">
      <c r="A47" t="s">
        <v>2390</v>
      </c>
      <c r="C47" t="s">
        <v>2391</v>
      </c>
      <c r="D47" t="s">
        <v>2392</v>
      </c>
      <c r="E47" t="s">
        <v>2393</v>
      </c>
      <c r="F47" t="s">
        <v>2394</v>
      </c>
      <c r="G47" t="s">
        <v>2395</v>
      </c>
      <c r="S47" t="s">
        <v>2396</v>
      </c>
      <c r="AB47" s="3">
        <v>46149.6262152778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2"/>
  <sheetViews>
    <sheetView workbookViewId="0">
      <selection activeCell="A1" sqref="A1"/>
    </sheetView>
  </sheetViews>
  <sheetFormatPr defaultColWidth="9.64285714285714" defaultRowHeight="16.8"/>
  <cols>
    <col min="1" max="9" width="19" customWidth="1"/>
  </cols>
  <sheetData>
    <row r="1" ht="13" customHeight="1" spans="1:9">
      <c r="A1" s="1" t="s">
        <v>2397</v>
      </c>
      <c r="B1" s="1" t="s">
        <v>2398</v>
      </c>
      <c r="C1" s="1" t="s">
        <v>2399</v>
      </c>
      <c r="D1" s="1" t="s">
        <v>2400</v>
      </c>
      <c r="E1" s="1" t="s">
        <v>2401</v>
      </c>
      <c r="F1" s="1" t="s">
        <v>2402</v>
      </c>
      <c r="G1" s="1" t="s">
        <v>2403</v>
      </c>
      <c r="H1" s="1" t="s">
        <v>2404</v>
      </c>
      <c r="I1" s="1" t="s">
        <v>2405</v>
      </c>
    </row>
    <row r="2" ht="25.5" customHeight="1" spans="1:9">
      <c r="A2" t="s">
        <v>2406</v>
      </c>
      <c r="B2" t="s">
        <v>2407</v>
      </c>
      <c r="C2" t="s">
        <v>2408</v>
      </c>
      <c r="D2" t="s">
        <v>2409</v>
      </c>
      <c r="E2" t="s">
        <v>2410</v>
      </c>
      <c r="F2" t="s">
        <v>2411</v>
      </c>
    </row>
    <row r="3" ht="25.5" customHeight="1" spans="1:9">
      <c r="A3" t="s">
        <v>2412</v>
      </c>
      <c r="B3" t="s">
        <v>2413</v>
      </c>
      <c r="C3" t="s">
        <v>2414</v>
      </c>
      <c r="D3" t="s">
        <v>2415</v>
      </c>
    </row>
    <row r="4" ht="25.5" customHeight="1" spans="1:9">
      <c r="A4" t="s">
        <v>2416</v>
      </c>
      <c r="B4" t="s">
        <v>342</v>
      </c>
      <c r="C4" t="s">
        <v>2417</v>
      </c>
      <c r="D4" t="s">
        <v>2418</v>
      </c>
      <c r="E4" t="s">
        <v>2419</v>
      </c>
      <c r="F4" t="s">
        <v>2420</v>
      </c>
    </row>
    <row r="5" ht="25.5" customHeight="1" spans="1:9">
      <c r="A5" t="s">
        <v>2421</v>
      </c>
      <c r="B5" t="s">
        <v>2422</v>
      </c>
      <c r="C5" t="s">
        <v>2423</v>
      </c>
      <c r="D5" t="s">
        <v>2424</v>
      </c>
      <c r="E5" t="s">
        <v>2425</v>
      </c>
      <c r="F5" t="s">
        <v>2426</v>
      </c>
    </row>
    <row r="6" ht="25.5" customHeight="1" spans="1:9">
      <c r="A6" t="s">
        <v>2427</v>
      </c>
      <c r="B6" t="s">
        <v>2428</v>
      </c>
      <c r="C6" t="s">
        <v>2429</v>
      </c>
      <c r="D6" t="s">
        <v>2430</v>
      </c>
      <c r="E6" t="s">
        <v>2431</v>
      </c>
      <c r="F6" t="s">
        <v>2432</v>
      </c>
    </row>
    <row r="7" ht="25.5" customHeight="1" spans="1:9">
      <c r="A7" t="s">
        <v>2433</v>
      </c>
      <c r="B7" t="s">
        <v>2434</v>
      </c>
      <c r="C7" t="s">
        <v>2435</v>
      </c>
      <c r="D7" t="s">
        <v>2436</v>
      </c>
      <c r="E7" t="s">
        <v>2437</v>
      </c>
    </row>
    <row r="8" ht="25.5" customHeight="1" spans="1:9">
      <c r="A8" t="s">
        <v>2438</v>
      </c>
      <c r="B8" t="s">
        <v>38</v>
      </c>
      <c r="C8" t="s">
        <v>2439</v>
      </c>
      <c r="D8" t="s">
        <v>2440</v>
      </c>
      <c r="E8" t="s">
        <v>2441</v>
      </c>
      <c r="F8" t="s">
        <v>2442</v>
      </c>
    </row>
    <row r="9" ht="25.5" customHeight="1" spans="1:9">
      <c r="A9" t="s">
        <v>2443</v>
      </c>
      <c r="B9" t="s">
        <v>33</v>
      </c>
      <c r="C9" t="s">
        <v>2444</v>
      </c>
      <c r="D9" t="s">
        <v>2445</v>
      </c>
      <c r="E9" t="s">
        <v>2446</v>
      </c>
      <c r="F9" t="s">
        <v>2447</v>
      </c>
    </row>
    <row r="10" ht="25.5" customHeight="1" spans="1:9">
      <c r="A10" t="s">
        <v>2448</v>
      </c>
      <c r="B10" t="s">
        <v>2449</v>
      </c>
      <c r="C10" t="s">
        <v>2450</v>
      </c>
      <c r="D10" t="s">
        <v>2451</v>
      </c>
      <c r="E10" t="s">
        <v>2452</v>
      </c>
    </row>
    <row r="11" ht="25.5" customHeight="1" spans="1:9">
      <c r="A11" t="s">
        <v>2453</v>
      </c>
      <c r="B11" t="s">
        <v>1006</v>
      </c>
      <c r="C11" t="s">
        <v>2454</v>
      </c>
      <c r="D11" t="s">
        <v>2455</v>
      </c>
      <c r="E11" t="s">
        <v>2456</v>
      </c>
      <c r="F11" t="s">
        <v>2457</v>
      </c>
    </row>
    <row r="12" ht="25.5" customHeight="1" spans="1:9">
      <c r="A12" t="s">
        <v>2458</v>
      </c>
      <c r="B12" t="s">
        <v>2459</v>
      </c>
      <c r="C12" t="s">
        <v>2460</v>
      </c>
      <c r="D12" t="s">
        <v>2461</v>
      </c>
      <c r="E12" t="s">
        <v>2462</v>
      </c>
      <c r="F12" t="s">
        <v>2463</v>
      </c>
    </row>
    <row r="13" ht="25.5" customHeight="1" spans="1:9">
      <c r="A13" t="s">
        <v>2464</v>
      </c>
      <c r="B13" t="s">
        <v>342</v>
      </c>
      <c r="C13" t="s">
        <v>2465</v>
      </c>
      <c r="D13" t="s">
        <v>2466</v>
      </c>
      <c r="E13" t="s">
        <v>2467</v>
      </c>
      <c r="F13" t="s">
        <v>2468</v>
      </c>
    </row>
    <row r="14" ht="25.5" customHeight="1" spans="1:9">
      <c r="A14" t="s">
        <v>2469</v>
      </c>
      <c r="B14" t="s">
        <v>34</v>
      </c>
      <c r="C14" t="s">
        <v>2470</v>
      </c>
      <c r="D14" t="s">
        <v>1822</v>
      </c>
      <c r="E14" t="s">
        <v>2471</v>
      </c>
      <c r="F14" t="s">
        <v>2472</v>
      </c>
    </row>
    <row r="15" ht="25.5" customHeight="1" spans="1:9">
      <c r="A15" t="s">
        <v>2473</v>
      </c>
      <c r="B15" t="s">
        <v>35</v>
      </c>
      <c r="C15" t="s">
        <v>2474</v>
      </c>
      <c r="D15" t="s">
        <v>1822</v>
      </c>
      <c r="E15" t="s">
        <v>2475</v>
      </c>
      <c r="F15" t="s">
        <v>2476</v>
      </c>
    </row>
    <row r="16" ht="25.5" customHeight="1" spans="1:9">
      <c r="A16" t="s">
        <v>2477</v>
      </c>
      <c r="B16" t="s">
        <v>41</v>
      </c>
      <c r="C16" t="s">
        <v>2478</v>
      </c>
      <c r="D16" t="s">
        <v>2479</v>
      </c>
      <c r="E16" t="s">
        <v>2480</v>
      </c>
      <c r="F16" t="s">
        <v>2481</v>
      </c>
    </row>
    <row r="17" ht="25.5" customHeight="1" spans="1:6">
      <c r="A17" t="s">
        <v>2482</v>
      </c>
      <c r="B17" t="s">
        <v>2483</v>
      </c>
      <c r="C17" t="s">
        <v>2484</v>
      </c>
      <c r="D17" t="s">
        <v>2485</v>
      </c>
      <c r="E17" t="s">
        <v>2486</v>
      </c>
      <c r="F17" t="s">
        <v>2487</v>
      </c>
    </row>
    <row r="18" ht="25.5" customHeight="1" spans="1:6">
      <c r="A18" t="s">
        <v>2488</v>
      </c>
      <c r="B18" t="s">
        <v>53</v>
      </c>
      <c r="C18" t="s">
        <v>2489</v>
      </c>
      <c r="D18" t="s">
        <v>2490</v>
      </c>
      <c r="E18" t="s">
        <v>2491</v>
      </c>
      <c r="F18" t="s">
        <v>2492</v>
      </c>
    </row>
    <row r="19" ht="25.5" customHeight="1" spans="1:6">
      <c r="A19" t="s">
        <v>2493</v>
      </c>
      <c r="B19" t="s">
        <v>39</v>
      </c>
      <c r="C19" t="s">
        <v>2494</v>
      </c>
      <c r="D19" t="s">
        <v>2495</v>
      </c>
      <c r="E19" t="s">
        <v>2496</v>
      </c>
      <c r="F19" t="s">
        <v>2497</v>
      </c>
    </row>
    <row r="20" ht="25.5" customHeight="1" spans="1:6">
      <c r="A20" t="s">
        <v>2498</v>
      </c>
      <c r="B20" t="s">
        <v>38</v>
      </c>
      <c r="C20" t="s">
        <v>2499</v>
      </c>
      <c r="D20" t="s">
        <v>2500</v>
      </c>
      <c r="E20" t="s">
        <v>2501</v>
      </c>
      <c r="F20" t="s">
        <v>2502</v>
      </c>
    </row>
    <row r="21" ht="25.5" customHeight="1" spans="1:6">
      <c r="A21" t="s">
        <v>2503</v>
      </c>
      <c r="B21" t="s">
        <v>33</v>
      </c>
      <c r="C21" t="s">
        <v>2504</v>
      </c>
      <c r="D21" t="s">
        <v>2505</v>
      </c>
      <c r="E21" t="s">
        <v>2506</v>
      </c>
      <c r="F21" t="s">
        <v>2507</v>
      </c>
    </row>
    <row r="22" ht="25.5" customHeight="1" spans="1:6">
      <c r="A22" t="s">
        <v>2508</v>
      </c>
      <c r="B22" t="s">
        <v>1006</v>
      </c>
      <c r="C22" t="s">
        <v>2509</v>
      </c>
      <c r="D22" t="s">
        <v>2510</v>
      </c>
      <c r="E22" t="s">
        <v>2511</v>
      </c>
      <c r="F22" t="s">
        <v>2512</v>
      </c>
    </row>
    <row r="23" ht="25.5" customHeight="1" spans="1:6">
      <c r="A23" t="s">
        <v>2513</v>
      </c>
      <c r="B23" t="s">
        <v>275</v>
      </c>
      <c r="C23" t="s">
        <v>2514</v>
      </c>
      <c r="D23" t="s">
        <v>2515</v>
      </c>
      <c r="E23" t="s">
        <v>2516</v>
      </c>
      <c r="F23" t="s">
        <v>2517</v>
      </c>
    </row>
    <row r="24" ht="25.5" customHeight="1" spans="1:6">
      <c r="A24" t="s">
        <v>2518</v>
      </c>
      <c r="B24" t="s">
        <v>34</v>
      </c>
      <c r="C24" t="s">
        <v>2519</v>
      </c>
      <c r="D24" t="s">
        <v>2520</v>
      </c>
      <c r="E24" t="s">
        <v>2521</v>
      </c>
      <c r="F24" t="s">
        <v>2522</v>
      </c>
    </row>
    <row r="25" ht="25.5" customHeight="1" spans="1:6">
      <c r="A25" t="s">
        <v>2523</v>
      </c>
      <c r="B25" t="s">
        <v>342</v>
      </c>
      <c r="C25" t="s">
        <v>2524</v>
      </c>
      <c r="D25" t="s">
        <v>2525</v>
      </c>
      <c r="E25" t="s">
        <v>2526</v>
      </c>
      <c r="F25" t="s">
        <v>2527</v>
      </c>
    </row>
    <row r="26" ht="25.5" customHeight="1" spans="1:6">
      <c r="A26" t="s">
        <v>2528</v>
      </c>
      <c r="B26" t="s">
        <v>2529</v>
      </c>
      <c r="C26" t="s">
        <v>2530</v>
      </c>
      <c r="D26" t="s">
        <v>2531</v>
      </c>
      <c r="E26" t="s">
        <v>2532</v>
      </c>
      <c r="F26" t="s">
        <v>2533</v>
      </c>
    </row>
    <row r="27" ht="25.5" customHeight="1" spans="1:6">
      <c r="A27" t="s">
        <v>2534</v>
      </c>
      <c r="B27" t="s">
        <v>41</v>
      </c>
      <c r="C27" t="s">
        <v>2535</v>
      </c>
      <c r="D27" t="s">
        <v>2536</v>
      </c>
      <c r="E27" t="s">
        <v>2537</v>
      </c>
      <c r="F27" t="s">
        <v>2538</v>
      </c>
    </row>
    <row r="28" ht="25.5" customHeight="1" spans="1:6">
      <c r="A28" t="s">
        <v>2539</v>
      </c>
      <c r="B28" t="s">
        <v>2428</v>
      </c>
      <c r="C28" t="s">
        <v>2540</v>
      </c>
      <c r="D28" t="s">
        <v>2541</v>
      </c>
      <c r="E28" t="s">
        <v>2542</v>
      </c>
      <c r="F28" t="s">
        <v>2543</v>
      </c>
    </row>
    <row r="29" ht="25.5" customHeight="1" spans="1:6">
      <c r="A29" t="s">
        <v>2544</v>
      </c>
      <c r="B29" t="s">
        <v>35</v>
      </c>
      <c r="C29" t="s">
        <v>2545</v>
      </c>
      <c r="D29" t="s">
        <v>2546</v>
      </c>
      <c r="E29" t="s">
        <v>2547</v>
      </c>
      <c r="F29" t="s">
        <v>2548</v>
      </c>
    </row>
    <row r="30" ht="25.5" customHeight="1" spans="1:6">
      <c r="A30" t="s">
        <v>2549</v>
      </c>
      <c r="B30" t="s">
        <v>45</v>
      </c>
      <c r="C30" t="s">
        <v>2550</v>
      </c>
      <c r="D30" t="s">
        <v>2551</v>
      </c>
      <c r="E30" t="s">
        <v>2552</v>
      </c>
      <c r="F30" t="s">
        <v>2553</v>
      </c>
    </row>
    <row r="31" ht="25.5" customHeight="1" spans="1:6">
      <c r="A31" t="s">
        <v>2554</v>
      </c>
      <c r="B31" t="s">
        <v>2555</v>
      </c>
      <c r="C31" t="s">
        <v>2556</v>
      </c>
      <c r="D31" t="s">
        <v>2557</v>
      </c>
      <c r="E31" t="s">
        <v>2558</v>
      </c>
      <c r="F31" t="s">
        <v>2559</v>
      </c>
    </row>
    <row r="32" ht="25.5" customHeight="1" spans="1:6">
      <c r="A32" t="s">
        <v>2560</v>
      </c>
      <c r="B32" t="s">
        <v>2561</v>
      </c>
      <c r="C32" t="s">
        <v>2562</v>
      </c>
      <c r="D32" t="s">
        <v>2563</v>
      </c>
      <c r="E32" t="s">
        <v>2564</v>
      </c>
      <c r="F32" t="s">
        <v>2565</v>
      </c>
    </row>
    <row r="33" ht="25.5" customHeight="1" spans="1:8">
      <c r="A33" t="s">
        <v>2566</v>
      </c>
      <c r="B33" t="s">
        <v>49</v>
      </c>
      <c r="C33" t="s">
        <v>2567</v>
      </c>
      <c r="D33" t="s">
        <v>2568</v>
      </c>
      <c r="E33" t="s">
        <v>2569</v>
      </c>
      <c r="F33" t="s">
        <v>2570</v>
      </c>
    </row>
    <row r="34" ht="25.5" customHeight="1" spans="1:8">
      <c r="A34" t="s">
        <v>2571</v>
      </c>
      <c r="B34" t="s">
        <v>2459</v>
      </c>
      <c r="C34" t="s">
        <v>2572</v>
      </c>
      <c r="D34" t="s">
        <v>2573</v>
      </c>
      <c r="E34" t="s">
        <v>2574</v>
      </c>
      <c r="F34" t="s">
        <v>2575</v>
      </c>
    </row>
    <row r="35" ht="25.5" customHeight="1" spans="1:8">
      <c r="A35" t="s">
        <v>2576</v>
      </c>
      <c r="B35" t="s">
        <v>2577</v>
      </c>
      <c r="C35" t="s">
        <v>2578</v>
      </c>
      <c r="D35" t="s">
        <v>2579</v>
      </c>
      <c r="E35" t="s">
        <v>2580</v>
      </c>
      <c r="F35" t="s">
        <v>2581</v>
      </c>
      <c r="H35" t="s">
        <v>2582</v>
      </c>
    </row>
    <row r="36" ht="25.5" customHeight="1" spans="1:8">
      <c r="A36" t="s">
        <v>2583</v>
      </c>
      <c r="B36" t="s">
        <v>2584</v>
      </c>
      <c r="C36" t="s">
        <v>2585</v>
      </c>
      <c r="D36" t="s">
        <v>2586</v>
      </c>
      <c r="E36" t="s">
        <v>2587</v>
      </c>
      <c r="F36" t="s">
        <v>2588</v>
      </c>
    </row>
    <row r="37" ht="25.5" customHeight="1" spans="1:8">
      <c r="A37" t="s">
        <v>2589</v>
      </c>
      <c r="B37" t="s">
        <v>45</v>
      </c>
      <c r="C37" t="s">
        <v>2590</v>
      </c>
      <c r="D37" t="s">
        <v>2591</v>
      </c>
      <c r="E37" t="s">
        <v>2592</v>
      </c>
      <c r="F37" t="s">
        <v>2593</v>
      </c>
    </row>
    <row r="38" ht="25.5" customHeight="1" spans="1:8">
      <c r="A38" t="s">
        <v>2594</v>
      </c>
      <c r="B38" t="s">
        <v>1006</v>
      </c>
      <c r="C38" t="s">
        <v>2595</v>
      </c>
      <c r="D38" t="s">
        <v>2596</v>
      </c>
      <c r="E38" t="s">
        <v>2597</v>
      </c>
      <c r="F38" t="s">
        <v>2598</v>
      </c>
    </row>
    <row r="39" ht="25.5" customHeight="1" spans="1:8">
      <c r="A39" t="s">
        <v>2599</v>
      </c>
      <c r="B39" t="s">
        <v>2600</v>
      </c>
      <c r="C39" t="s">
        <v>2601</v>
      </c>
      <c r="D39" t="s">
        <v>2602</v>
      </c>
      <c r="E39" t="s">
        <v>2603</v>
      </c>
      <c r="F39" t="s">
        <v>2604</v>
      </c>
    </row>
    <row r="40" ht="25.5" customHeight="1" spans="1:8">
      <c r="A40" t="s">
        <v>2605</v>
      </c>
      <c r="B40" t="s">
        <v>2606</v>
      </c>
      <c r="C40" t="s">
        <v>2607</v>
      </c>
      <c r="D40" t="s">
        <v>2608</v>
      </c>
      <c r="E40" t="s">
        <v>2609</v>
      </c>
      <c r="F40" t="s">
        <v>2610</v>
      </c>
    </row>
    <row r="41" ht="25.5" customHeight="1" spans="1:8">
      <c r="A41" t="s">
        <v>2611</v>
      </c>
      <c r="B41" t="s">
        <v>2612</v>
      </c>
      <c r="C41" t="s">
        <v>2613</v>
      </c>
      <c r="D41" t="s">
        <v>2614</v>
      </c>
      <c r="E41" t="s">
        <v>2615</v>
      </c>
      <c r="F41" t="s">
        <v>2616</v>
      </c>
    </row>
    <row r="42" ht="25.5" customHeight="1" spans="1:8">
      <c r="A42" t="s">
        <v>2617</v>
      </c>
      <c r="B42" t="s">
        <v>2618</v>
      </c>
      <c r="C42" t="s">
        <v>2619</v>
      </c>
      <c r="D42" t="s">
        <v>2620</v>
      </c>
      <c r="E42" t="s">
        <v>2621</v>
      </c>
      <c r="F42" t="s">
        <v>2622</v>
      </c>
    </row>
    <row r="43" ht="25.5" customHeight="1" spans="1:8">
      <c r="A43" t="s">
        <v>2623</v>
      </c>
      <c r="B43" t="s">
        <v>2624</v>
      </c>
      <c r="C43" t="s">
        <v>2625</v>
      </c>
      <c r="D43" t="s">
        <v>2608</v>
      </c>
      <c r="E43" t="s">
        <v>2626</v>
      </c>
      <c r="F43" t="s">
        <v>2627</v>
      </c>
    </row>
    <row r="44" ht="25.5" customHeight="1" spans="1:8">
      <c r="A44" t="s">
        <v>2628</v>
      </c>
      <c r="B44" t="s">
        <v>39</v>
      </c>
      <c r="C44" t="s">
        <v>2629</v>
      </c>
      <c r="D44" t="s">
        <v>2630</v>
      </c>
      <c r="E44" t="s">
        <v>2631</v>
      </c>
      <c r="F44" t="s">
        <v>2632</v>
      </c>
    </row>
    <row r="45" ht="25.5" customHeight="1" spans="1:8">
      <c r="A45" t="s">
        <v>2633</v>
      </c>
      <c r="B45" t="s">
        <v>2634</v>
      </c>
      <c r="C45" t="s">
        <v>2601</v>
      </c>
      <c r="D45" t="s">
        <v>2635</v>
      </c>
      <c r="E45" t="s">
        <v>2603</v>
      </c>
      <c r="F45" t="s">
        <v>2604</v>
      </c>
    </row>
    <row r="46" ht="25.5" customHeight="1" spans="1:8">
      <c r="A46" t="s">
        <v>2636</v>
      </c>
      <c r="B46" t="s">
        <v>2637</v>
      </c>
      <c r="C46" t="s">
        <v>2638</v>
      </c>
      <c r="D46" t="s">
        <v>2639</v>
      </c>
      <c r="E46" t="s">
        <v>2640</v>
      </c>
      <c r="F46" t="s">
        <v>2641</v>
      </c>
    </row>
    <row r="47" ht="25.5" customHeight="1" spans="1:8">
      <c r="A47" t="s">
        <v>2642</v>
      </c>
      <c r="B47" t="s">
        <v>2643</v>
      </c>
      <c r="C47" t="s">
        <v>2644</v>
      </c>
      <c r="D47" t="s">
        <v>2645</v>
      </c>
      <c r="E47" t="s">
        <v>2646</v>
      </c>
      <c r="F47" t="s">
        <v>2647</v>
      </c>
    </row>
    <row r="48" ht="25.5" customHeight="1" spans="1:8">
      <c r="A48" t="s">
        <v>2648</v>
      </c>
      <c r="B48" t="s">
        <v>2649</v>
      </c>
      <c r="C48" t="s">
        <v>2650</v>
      </c>
      <c r="D48" t="s">
        <v>2651</v>
      </c>
      <c r="E48" t="s">
        <v>2652</v>
      </c>
      <c r="F48" t="s">
        <v>2653</v>
      </c>
    </row>
    <row r="49" ht="25.5" customHeight="1" spans="1:6">
      <c r="A49" t="s">
        <v>2654</v>
      </c>
      <c r="B49" t="s">
        <v>2655</v>
      </c>
      <c r="C49" t="s">
        <v>2656</v>
      </c>
      <c r="D49" t="s">
        <v>2657</v>
      </c>
      <c r="E49" t="s">
        <v>2658</v>
      </c>
      <c r="F49" t="s">
        <v>2659</v>
      </c>
    </row>
    <row r="50" ht="25.5" customHeight="1" spans="1:6">
      <c r="A50" t="s">
        <v>2660</v>
      </c>
      <c r="B50" t="s">
        <v>2459</v>
      </c>
      <c r="C50" t="s">
        <v>2661</v>
      </c>
      <c r="D50" t="s">
        <v>2662</v>
      </c>
      <c r="E50" t="s">
        <v>2663</v>
      </c>
      <c r="F50" t="s">
        <v>2664</v>
      </c>
    </row>
    <row r="51" ht="25.5" customHeight="1" spans="1:6">
      <c r="A51" t="s">
        <v>2665</v>
      </c>
      <c r="B51" t="s">
        <v>56</v>
      </c>
      <c r="C51" t="s">
        <v>2666</v>
      </c>
      <c r="D51" t="s">
        <v>2667</v>
      </c>
      <c r="E51" t="s">
        <v>2668</v>
      </c>
      <c r="F51" t="s">
        <v>2669</v>
      </c>
    </row>
    <row r="52" ht="25.5" customHeight="1" spans="1:6">
      <c r="A52" t="s">
        <v>2670</v>
      </c>
      <c r="B52" t="s">
        <v>2671</v>
      </c>
      <c r="C52" t="s">
        <v>2672</v>
      </c>
      <c r="D52" t="s">
        <v>2673</v>
      </c>
      <c r="E52" t="s">
        <v>2674</v>
      </c>
      <c r="F52" t="s">
        <v>2675</v>
      </c>
    </row>
    <row r="53" ht="25.5" customHeight="1" spans="1:6">
      <c r="A53" t="s">
        <v>2676</v>
      </c>
      <c r="B53" t="s">
        <v>49</v>
      </c>
      <c r="C53" t="s">
        <v>2677</v>
      </c>
      <c r="D53" t="s">
        <v>2678</v>
      </c>
      <c r="E53" t="s">
        <v>2679</v>
      </c>
      <c r="F53" t="s">
        <v>2680</v>
      </c>
    </row>
    <row r="54" ht="25.5" customHeight="1" spans="1:6">
      <c r="A54" t="s">
        <v>2681</v>
      </c>
      <c r="B54" t="s">
        <v>35</v>
      </c>
      <c r="C54" t="s">
        <v>2682</v>
      </c>
      <c r="D54" t="s">
        <v>931</v>
      </c>
      <c r="E54" t="s">
        <v>2683</v>
      </c>
      <c r="F54" t="s">
        <v>2684</v>
      </c>
    </row>
    <row r="55" ht="25.5" customHeight="1" spans="1:6">
      <c r="A55" t="s">
        <v>2685</v>
      </c>
      <c r="B55" t="s">
        <v>2686</v>
      </c>
      <c r="C55" t="s">
        <v>2687</v>
      </c>
      <c r="D55" t="s">
        <v>2688</v>
      </c>
      <c r="E55" t="s">
        <v>2689</v>
      </c>
      <c r="F55" t="s">
        <v>2690</v>
      </c>
    </row>
    <row r="56" ht="25.5" customHeight="1" spans="1:6">
      <c r="A56" t="s">
        <v>2691</v>
      </c>
      <c r="B56" t="s">
        <v>2692</v>
      </c>
      <c r="C56" t="s">
        <v>2693</v>
      </c>
      <c r="D56" t="s">
        <v>2694</v>
      </c>
      <c r="E56" t="s">
        <v>2695</v>
      </c>
      <c r="F56" t="s">
        <v>2696</v>
      </c>
    </row>
    <row r="57" ht="25.5" customHeight="1" spans="1:6">
      <c r="A57" t="s">
        <v>2697</v>
      </c>
      <c r="B57" t="s">
        <v>2698</v>
      </c>
      <c r="C57" t="s">
        <v>2699</v>
      </c>
      <c r="D57" t="s">
        <v>2700</v>
      </c>
    </row>
    <row r="58" ht="25.5" customHeight="1" spans="1:6">
      <c r="A58" t="s">
        <v>2701</v>
      </c>
      <c r="B58" t="s">
        <v>275</v>
      </c>
      <c r="C58" t="s">
        <v>2702</v>
      </c>
      <c r="D58" t="s">
        <v>2703</v>
      </c>
      <c r="E58" t="s">
        <v>2704</v>
      </c>
      <c r="F58" t="s">
        <v>2705</v>
      </c>
    </row>
    <row r="59" ht="25.5" customHeight="1" spans="1:6">
      <c r="A59" t="s">
        <v>2706</v>
      </c>
      <c r="B59" t="s">
        <v>2707</v>
      </c>
      <c r="C59" t="s">
        <v>2708</v>
      </c>
      <c r="D59" t="s">
        <v>2709</v>
      </c>
      <c r="E59" t="s">
        <v>2710</v>
      </c>
      <c r="F59" t="s">
        <v>2711</v>
      </c>
    </row>
    <row r="60" ht="25.5" customHeight="1" spans="1:6">
      <c r="A60" t="s">
        <v>2712</v>
      </c>
      <c r="B60" t="s">
        <v>2459</v>
      </c>
      <c r="C60" t="s">
        <v>2713</v>
      </c>
      <c r="D60" t="s">
        <v>2714</v>
      </c>
      <c r="E60" t="s">
        <v>2715</v>
      </c>
      <c r="F60" t="s">
        <v>2716</v>
      </c>
    </row>
    <row r="61" ht="25.5" customHeight="1" spans="1:6">
      <c r="A61" t="s">
        <v>2717</v>
      </c>
      <c r="B61" t="s">
        <v>2718</v>
      </c>
      <c r="C61" t="s">
        <v>2719</v>
      </c>
      <c r="D61" t="s">
        <v>2657</v>
      </c>
      <c r="E61" t="s">
        <v>2720</v>
      </c>
      <c r="F61" t="s">
        <v>2721</v>
      </c>
    </row>
    <row r="62" ht="25.5" customHeight="1" spans="1:6">
      <c r="A62" t="s">
        <v>2722</v>
      </c>
      <c r="B62" t="s">
        <v>2723</v>
      </c>
      <c r="C62" t="s">
        <v>2724</v>
      </c>
      <c r="D62" t="s">
        <v>2725</v>
      </c>
      <c r="E62" t="s">
        <v>2726</v>
      </c>
      <c r="F62" t="s">
        <v>2727</v>
      </c>
    </row>
    <row r="63" ht="25.5" customHeight="1" spans="1:6">
      <c r="A63" t="s">
        <v>2728</v>
      </c>
      <c r="B63" t="s">
        <v>275</v>
      </c>
      <c r="C63" t="s">
        <v>2729</v>
      </c>
      <c r="E63" t="s">
        <v>2730</v>
      </c>
      <c r="F63" t="s">
        <v>2731</v>
      </c>
    </row>
    <row r="64" ht="25.5" customHeight="1" spans="1:6">
      <c r="A64" t="s">
        <v>2732</v>
      </c>
      <c r="B64" t="s">
        <v>2733</v>
      </c>
      <c r="C64" t="s">
        <v>2734</v>
      </c>
      <c r="E64" t="s">
        <v>2735</v>
      </c>
      <c r="F64" t="s">
        <v>2736</v>
      </c>
    </row>
    <row r="65" ht="25.5" customHeight="1" spans="1:8">
      <c r="A65" t="s">
        <v>2737</v>
      </c>
      <c r="B65" t="s">
        <v>11</v>
      </c>
      <c r="C65" t="s">
        <v>2738</v>
      </c>
      <c r="E65" t="s">
        <v>2739</v>
      </c>
      <c r="F65" t="s">
        <v>2740</v>
      </c>
    </row>
    <row r="66" ht="25.5" customHeight="1" spans="1:8">
      <c r="A66" t="s">
        <v>2741</v>
      </c>
      <c r="B66" t="s">
        <v>2742</v>
      </c>
      <c r="C66" t="s">
        <v>2743</v>
      </c>
      <c r="E66" t="s">
        <v>2744</v>
      </c>
      <c r="F66" t="s">
        <v>2745</v>
      </c>
    </row>
    <row r="67" ht="25.5" customHeight="1" spans="1:8">
      <c r="A67" t="s">
        <v>2746</v>
      </c>
      <c r="B67" t="s">
        <v>2747</v>
      </c>
      <c r="C67" t="s">
        <v>2748</v>
      </c>
      <c r="E67" t="s">
        <v>2749</v>
      </c>
      <c r="F67" t="s">
        <v>2750</v>
      </c>
    </row>
    <row r="68" ht="25.5" customHeight="1" spans="1:8">
      <c r="A68" t="s">
        <v>2751</v>
      </c>
      <c r="B68" t="s">
        <v>2752</v>
      </c>
      <c r="C68" t="s">
        <v>2753</v>
      </c>
      <c r="D68" t="s">
        <v>2754</v>
      </c>
      <c r="E68" t="s">
        <v>2755</v>
      </c>
      <c r="F68" t="s">
        <v>2756</v>
      </c>
    </row>
    <row r="69" ht="25.5" customHeight="1" spans="1:8">
      <c r="A69" t="s">
        <v>2757</v>
      </c>
      <c r="B69" t="s">
        <v>2758</v>
      </c>
      <c r="C69" t="s">
        <v>2759</v>
      </c>
      <c r="E69" t="s">
        <v>2760</v>
      </c>
      <c r="F69" t="s">
        <v>2761</v>
      </c>
    </row>
    <row r="70" ht="25.5" customHeight="1" spans="1:8">
      <c r="A70" t="s">
        <v>2762</v>
      </c>
      <c r="B70" t="s">
        <v>2763</v>
      </c>
      <c r="C70" t="s">
        <v>2764</v>
      </c>
      <c r="E70" t="s">
        <v>2765</v>
      </c>
      <c r="F70" t="s">
        <v>2766</v>
      </c>
    </row>
    <row r="71" ht="25.5" customHeight="1" spans="1:8">
      <c r="A71" t="s">
        <v>2767</v>
      </c>
      <c r="B71" t="s">
        <v>2768</v>
      </c>
      <c r="C71" t="s">
        <v>2769</v>
      </c>
      <c r="E71" t="s">
        <v>2770</v>
      </c>
      <c r="F71" t="s">
        <v>2771</v>
      </c>
    </row>
    <row r="72" ht="25.5" customHeight="1" spans="1:8">
      <c r="A72" t="s">
        <v>2772</v>
      </c>
      <c r="B72" t="s">
        <v>2773</v>
      </c>
      <c r="C72" t="s">
        <v>2774</v>
      </c>
      <c r="E72" t="s">
        <v>2775</v>
      </c>
      <c r="F72" t="s">
        <v>2776</v>
      </c>
      <c r="G72" t="s">
        <v>2777</v>
      </c>
      <c r="H72" t="s">
        <v>2778</v>
      </c>
    </row>
    <row r="73" ht="25.5" customHeight="1" spans="1:8">
      <c r="A73" t="s">
        <v>2779</v>
      </c>
      <c r="B73" t="s">
        <v>2780</v>
      </c>
      <c r="C73" t="s">
        <v>2781</v>
      </c>
      <c r="E73" t="s">
        <v>2782</v>
      </c>
      <c r="F73" t="s">
        <v>2783</v>
      </c>
    </row>
    <row r="74" ht="25.5" customHeight="1" spans="1:8">
      <c r="A74" t="s">
        <v>2784</v>
      </c>
      <c r="B74" t="s">
        <v>2785</v>
      </c>
      <c r="C74" t="s">
        <v>2786</v>
      </c>
      <c r="E74" t="s">
        <v>2787</v>
      </c>
      <c r="F74" t="s">
        <v>2788</v>
      </c>
      <c r="H74" t="s">
        <v>2789</v>
      </c>
    </row>
    <row r="75" ht="25.5" customHeight="1" spans="1:8">
      <c r="A75" t="s">
        <v>2790</v>
      </c>
      <c r="B75" t="s">
        <v>2791</v>
      </c>
      <c r="C75" t="s">
        <v>2792</v>
      </c>
      <c r="E75" t="s">
        <v>2793</v>
      </c>
      <c r="F75" t="s">
        <v>2794</v>
      </c>
    </row>
    <row r="76" ht="25.5" customHeight="1" spans="1:8">
      <c r="A76" t="s">
        <v>2795</v>
      </c>
      <c r="B76" t="s">
        <v>2483</v>
      </c>
      <c r="C76" t="s">
        <v>2796</v>
      </c>
      <c r="D76" t="s">
        <v>2797</v>
      </c>
      <c r="E76" t="s">
        <v>2798</v>
      </c>
      <c r="F76" t="s">
        <v>2799</v>
      </c>
    </row>
    <row r="77" ht="25.5" customHeight="1" spans="1:8">
      <c r="A77" t="s">
        <v>2800</v>
      </c>
      <c r="B77" t="s">
        <v>2801</v>
      </c>
      <c r="C77" t="s">
        <v>2802</v>
      </c>
      <c r="E77" t="s">
        <v>2803</v>
      </c>
      <c r="F77" t="s">
        <v>2804</v>
      </c>
    </row>
    <row r="78" ht="25.5" customHeight="1" spans="1:8">
      <c r="A78" t="s">
        <v>2805</v>
      </c>
      <c r="B78" t="s">
        <v>2806</v>
      </c>
      <c r="C78" t="s">
        <v>2807</v>
      </c>
      <c r="E78" t="s">
        <v>2808</v>
      </c>
      <c r="F78" t="s">
        <v>2809</v>
      </c>
    </row>
    <row r="79" ht="25.5" customHeight="1" spans="1:8">
      <c r="A79" t="s">
        <v>2810</v>
      </c>
      <c r="B79" t="s">
        <v>394</v>
      </c>
      <c r="C79" t="s">
        <v>2811</v>
      </c>
      <c r="D79" t="s">
        <v>931</v>
      </c>
      <c r="E79" t="s">
        <v>2812</v>
      </c>
      <c r="F79" t="s">
        <v>2813</v>
      </c>
    </row>
    <row r="80" ht="25.5" customHeight="1" spans="1:8">
      <c r="A80" t="s">
        <v>2814</v>
      </c>
      <c r="B80" t="s">
        <v>24</v>
      </c>
      <c r="C80" t="s">
        <v>2815</v>
      </c>
      <c r="D80" t="s">
        <v>2816</v>
      </c>
      <c r="E80" t="s">
        <v>2817</v>
      </c>
      <c r="F80" t="s">
        <v>2818</v>
      </c>
      <c r="H80" t="s">
        <v>2819</v>
      </c>
    </row>
    <row r="81" ht="25.5" customHeight="1" spans="1:8">
      <c r="A81" t="s">
        <v>2820</v>
      </c>
      <c r="B81" t="s">
        <v>38</v>
      </c>
      <c r="C81" t="s">
        <v>2821</v>
      </c>
      <c r="E81" t="s">
        <v>2822</v>
      </c>
      <c r="F81" t="s">
        <v>2823</v>
      </c>
    </row>
    <row r="82" ht="25.5" customHeight="1" spans="1:8">
      <c r="A82" t="s">
        <v>2824</v>
      </c>
      <c r="B82" t="s">
        <v>2825</v>
      </c>
      <c r="C82" t="s">
        <v>2826</v>
      </c>
      <c r="E82" t="s">
        <v>2827</v>
      </c>
      <c r="F82" t="s">
        <v>2828</v>
      </c>
      <c r="H82" t="s">
        <v>2829</v>
      </c>
    </row>
    <row r="83" ht="25.5" customHeight="1" spans="1:8">
      <c r="A83" t="s">
        <v>2830</v>
      </c>
      <c r="B83" t="s">
        <v>2831</v>
      </c>
      <c r="C83" t="s">
        <v>2832</v>
      </c>
      <c r="E83" t="s">
        <v>2833</v>
      </c>
      <c r="F83" t="s">
        <v>2834</v>
      </c>
    </row>
    <row r="84" ht="25.5" customHeight="1" spans="1:8">
      <c r="A84" t="s">
        <v>2835</v>
      </c>
      <c r="B84" t="s">
        <v>2836</v>
      </c>
      <c r="C84" t="s">
        <v>2837</v>
      </c>
      <c r="E84" t="s">
        <v>2838</v>
      </c>
      <c r="F84" t="s">
        <v>2839</v>
      </c>
      <c r="H84" t="s">
        <v>2840</v>
      </c>
    </row>
    <row r="85" ht="25.5" customHeight="1" spans="1:8">
      <c r="A85" t="s">
        <v>2841</v>
      </c>
      <c r="B85" t="s">
        <v>2842</v>
      </c>
      <c r="C85" t="s">
        <v>2843</v>
      </c>
      <c r="E85" t="s">
        <v>2844</v>
      </c>
      <c r="F85" t="s">
        <v>2845</v>
      </c>
      <c r="H85" t="s">
        <v>2846</v>
      </c>
    </row>
    <row r="86" ht="25.5" customHeight="1" spans="1:8">
      <c r="A86" t="s">
        <v>2847</v>
      </c>
      <c r="B86" t="s">
        <v>2848</v>
      </c>
      <c r="C86" t="s">
        <v>2849</v>
      </c>
      <c r="E86" t="s">
        <v>2850</v>
      </c>
      <c r="F86" t="s">
        <v>2851</v>
      </c>
      <c r="H86" t="s">
        <v>2852</v>
      </c>
    </row>
    <row r="87" ht="25.5" customHeight="1" spans="1:8">
      <c r="A87" t="s">
        <v>2853</v>
      </c>
      <c r="B87" t="s">
        <v>2854</v>
      </c>
      <c r="C87" t="s">
        <v>2855</v>
      </c>
      <c r="E87" t="s">
        <v>2856</v>
      </c>
      <c r="F87" t="s">
        <v>2857</v>
      </c>
      <c r="H87" t="s">
        <v>2858</v>
      </c>
    </row>
    <row r="88" ht="25.5" customHeight="1" spans="1:8">
      <c r="A88" t="s">
        <v>2859</v>
      </c>
      <c r="B88" t="s">
        <v>2860</v>
      </c>
      <c r="C88" t="s">
        <v>2861</v>
      </c>
      <c r="E88" t="s">
        <v>2862</v>
      </c>
      <c r="F88" t="s">
        <v>2863</v>
      </c>
      <c r="H88" t="s">
        <v>2864</v>
      </c>
    </row>
    <row r="89" ht="25.5" customHeight="1" spans="1:8">
      <c r="A89" t="s">
        <v>2865</v>
      </c>
      <c r="B89" t="s">
        <v>2866</v>
      </c>
      <c r="C89" t="s">
        <v>2867</v>
      </c>
      <c r="E89" t="s">
        <v>2868</v>
      </c>
      <c r="F89" t="s">
        <v>2869</v>
      </c>
      <c r="H89" t="s">
        <v>2870</v>
      </c>
    </row>
    <row r="90" ht="25.5" customHeight="1" spans="1:8">
      <c r="A90" t="s">
        <v>2871</v>
      </c>
      <c r="B90" t="s">
        <v>2872</v>
      </c>
      <c r="C90" t="s">
        <v>2873</v>
      </c>
      <c r="E90" t="s">
        <v>2874</v>
      </c>
      <c r="F90" t="s">
        <v>2875</v>
      </c>
      <c r="H90" t="s">
        <v>2876</v>
      </c>
    </row>
    <row r="91" ht="25.5" customHeight="1" spans="1:8">
      <c r="A91" t="s">
        <v>2877</v>
      </c>
      <c r="B91" t="s">
        <v>2878</v>
      </c>
      <c r="C91" t="s">
        <v>2879</v>
      </c>
      <c r="E91" t="s">
        <v>2880</v>
      </c>
      <c r="F91" t="s">
        <v>2881</v>
      </c>
      <c r="H91" t="s">
        <v>2882</v>
      </c>
    </row>
    <row r="92" ht="25.5" customHeight="1" spans="1:8">
      <c r="A92" t="s">
        <v>2883</v>
      </c>
      <c r="B92" t="s">
        <v>2884</v>
      </c>
      <c r="C92" t="s">
        <v>2885</v>
      </c>
      <c r="E92" t="s">
        <v>2886</v>
      </c>
      <c r="F92" t="s">
        <v>2887</v>
      </c>
      <c r="H92" t="s">
        <v>2888</v>
      </c>
    </row>
    <row r="93" ht="25.5" customHeight="1" spans="1:8">
      <c r="A93" t="s">
        <v>2889</v>
      </c>
      <c r="B93" t="s">
        <v>2890</v>
      </c>
      <c r="C93" t="s">
        <v>2891</v>
      </c>
      <c r="E93" t="s">
        <v>2892</v>
      </c>
      <c r="F93" t="s">
        <v>2893</v>
      </c>
      <c r="H93" t="s">
        <v>2894</v>
      </c>
    </row>
    <row r="94" ht="25.5" customHeight="1" spans="1:8">
      <c r="A94" t="s">
        <v>2895</v>
      </c>
      <c r="B94" t="s">
        <v>2896</v>
      </c>
      <c r="C94" t="s">
        <v>2897</v>
      </c>
      <c r="E94" t="s">
        <v>2898</v>
      </c>
      <c r="F94" t="s">
        <v>2899</v>
      </c>
      <c r="H94" t="s">
        <v>2900</v>
      </c>
    </row>
    <row r="95" ht="25.5" customHeight="1" spans="1:8">
      <c r="A95" t="s">
        <v>2901</v>
      </c>
      <c r="B95" t="s">
        <v>2902</v>
      </c>
      <c r="C95" t="s">
        <v>2903</v>
      </c>
      <c r="E95" t="s">
        <v>2904</v>
      </c>
      <c r="F95" t="s">
        <v>2905</v>
      </c>
      <c r="H95" t="s">
        <v>2906</v>
      </c>
    </row>
    <row r="96" ht="25.5" customHeight="1" spans="1:8">
      <c r="A96" t="s">
        <v>2907</v>
      </c>
      <c r="B96" t="s">
        <v>2908</v>
      </c>
      <c r="C96" t="s">
        <v>2909</v>
      </c>
      <c r="E96" t="s">
        <v>2910</v>
      </c>
      <c r="F96" t="s">
        <v>2911</v>
      </c>
      <c r="H96" t="s">
        <v>2912</v>
      </c>
    </row>
    <row r="97" ht="25.5" customHeight="1" spans="1:8">
      <c r="A97" t="s">
        <v>2913</v>
      </c>
      <c r="B97" t="s">
        <v>2914</v>
      </c>
      <c r="C97" t="s">
        <v>2915</v>
      </c>
      <c r="E97" t="s">
        <v>2916</v>
      </c>
      <c r="F97" t="s">
        <v>2917</v>
      </c>
      <c r="G97" t="s">
        <v>2918</v>
      </c>
      <c r="H97" t="s">
        <v>2919</v>
      </c>
    </row>
    <row r="98" ht="25.5" customHeight="1" spans="1:8">
      <c r="A98" t="s">
        <v>2920</v>
      </c>
      <c r="B98" t="s">
        <v>2921</v>
      </c>
      <c r="C98" t="s">
        <v>2922</v>
      </c>
      <c r="E98" t="s">
        <v>2923</v>
      </c>
      <c r="F98" t="s">
        <v>2924</v>
      </c>
      <c r="H98" t="s">
        <v>2925</v>
      </c>
    </row>
    <row r="99" ht="25.5" customHeight="1" spans="1:8">
      <c r="A99" t="s">
        <v>2926</v>
      </c>
      <c r="B99" t="s">
        <v>2927</v>
      </c>
      <c r="C99" t="s">
        <v>2928</v>
      </c>
      <c r="E99" t="s">
        <v>2929</v>
      </c>
      <c r="F99" t="s">
        <v>2930</v>
      </c>
      <c r="H99" t="s">
        <v>2931</v>
      </c>
    </row>
    <row r="100" ht="25.5" customHeight="1" spans="1:8">
      <c r="A100" t="s">
        <v>2932</v>
      </c>
      <c r="B100" t="s">
        <v>2933</v>
      </c>
      <c r="C100" t="s">
        <v>2934</v>
      </c>
      <c r="E100" t="s">
        <v>2935</v>
      </c>
      <c r="F100" t="s">
        <v>2936</v>
      </c>
      <c r="H100" t="s">
        <v>2937</v>
      </c>
    </row>
    <row r="101" ht="25.5" customHeight="1" spans="1:8">
      <c r="A101" t="s">
        <v>2938</v>
      </c>
      <c r="B101" t="s">
        <v>2939</v>
      </c>
      <c r="C101" t="s">
        <v>2940</v>
      </c>
      <c r="E101" t="s">
        <v>2941</v>
      </c>
      <c r="F101" t="s">
        <v>2942</v>
      </c>
    </row>
    <row r="102" ht="25.5" customHeight="1" spans="1:8">
      <c r="A102" t="s">
        <v>2943</v>
      </c>
      <c r="B102" t="s">
        <v>2944</v>
      </c>
      <c r="C102" t="s">
        <v>2945</v>
      </c>
      <c r="E102" t="s">
        <v>2946</v>
      </c>
      <c r="F102" t="s">
        <v>2947</v>
      </c>
      <c r="H102" t="s">
        <v>2948</v>
      </c>
    </row>
    <row r="103" ht="25.5" customHeight="1" spans="1:8">
      <c r="A103" t="s">
        <v>2949</v>
      </c>
      <c r="B103" t="s">
        <v>2950</v>
      </c>
      <c r="C103" t="s">
        <v>2951</v>
      </c>
      <c r="E103" t="s">
        <v>2952</v>
      </c>
      <c r="F103" t="s">
        <v>2953</v>
      </c>
      <c r="H103" t="s">
        <v>2954</v>
      </c>
    </row>
    <row r="104" ht="25.5" customHeight="1" spans="1:8">
      <c r="A104" t="s">
        <v>2955</v>
      </c>
      <c r="B104" t="s">
        <v>2956</v>
      </c>
      <c r="C104" t="s">
        <v>2957</v>
      </c>
      <c r="E104" t="s">
        <v>2958</v>
      </c>
      <c r="F104" t="s">
        <v>2959</v>
      </c>
      <c r="H104" t="s">
        <v>2960</v>
      </c>
    </row>
    <row r="105" ht="25.5" customHeight="1" spans="1:8">
      <c r="A105" t="s">
        <v>2961</v>
      </c>
      <c r="B105" t="s">
        <v>2962</v>
      </c>
      <c r="C105" t="s">
        <v>2963</v>
      </c>
      <c r="E105" t="s">
        <v>2964</v>
      </c>
      <c r="F105" t="s">
        <v>2965</v>
      </c>
      <c r="H105" t="s">
        <v>2966</v>
      </c>
    </row>
    <row r="106" ht="25.5" customHeight="1" spans="1:8">
      <c r="A106" t="s">
        <v>2967</v>
      </c>
      <c r="B106" t="s">
        <v>2968</v>
      </c>
      <c r="C106" t="s">
        <v>2969</v>
      </c>
      <c r="E106" t="s">
        <v>2970</v>
      </c>
      <c r="F106" t="s">
        <v>2971</v>
      </c>
      <c r="H106" t="s">
        <v>2972</v>
      </c>
    </row>
    <row r="107" ht="25.5" customHeight="1" spans="1:8">
      <c r="A107" t="s">
        <v>2973</v>
      </c>
      <c r="B107" t="s">
        <v>2974</v>
      </c>
      <c r="C107" t="s">
        <v>2975</v>
      </c>
      <c r="E107" t="s">
        <v>2976</v>
      </c>
      <c r="F107" t="s">
        <v>2977</v>
      </c>
      <c r="H107" t="s">
        <v>2978</v>
      </c>
    </row>
    <row r="108" ht="25.5" customHeight="1" spans="1:8">
      <c r="A108" t="s">
        <v>2979</v>
      </c>
      <c r="B108" t="s">
        <v>2980</v>
      </c>
      <c r="C108" t="s">
        <v>2981</v>
      </c>
      <c r="E108" t="s">
        <v>2982</v>
      </c>
      <c r="F108" t="s">
        <v>2983</v>
      </c>
      <c r="H108" t="s">
        <v>2984</v>
      </c>
    </row>
    <row r="109" ht="25.5" customHeight="1" spans="1:8">
      <c r="A109" t="s">
        <v>2985</v>
      </c>
      <c r="B109" t="s">
        <v>2986</v>
      </c>
      <c r="C109" t="s">
        <v>2987</v>
      </c>
      <c r="E109" t="s">
        <v>2988</v>
      </c>
      <c r="F109" t="s">
        <v>2989</v>
      </c>
      <c r="H109" t="s">
        <v>2990</v>
      </c>
    </row>
    <row r="110" ht="25.5" customHeight="1" spans="1:8">
      <c r="A110" t="s">
        <v>2991</v>
      </c>
      <c r="B110" t="s">
        <v>2992</v>
      </c>
      <c r="C110" t="s">
        <v>2993</v>
      </c>
      <c r="E110" t="s">
        <v>2994</v>
      </c>
      <c r="F110" t="s">
        <v>2995</v>
      </c>
    </row>
    <row r="111" ht="25.5" customHeight="1" spans="1:8">
      <c r="A111" t="s">
        <v>2996</v>
      </c>
      <c r="B111" t="s">
        <v>2997</v>
      </c>
      <c r="C111" t="s">
        <v>2998</v>
      </c>
      <c r="E111" t="s">
        <v>2999</v>
      </c>
      <c r="F111" t="s">
        <v>3000</v>
      </c>
      <c r="H111" t="s">
        <v>3001</v>
      </c>
    </row>
    <row r="112" ht="25.5" customHeight="1" spans="1:8">
      <c r="A112" t="s">
        <v>3002</v>
      </c>
      <c r="B112" t="s">
        <v>3003</v>
      </c>
      <c r="C112" t="s">
        <v>3004</v>
      </c>
      <c r="E112" t="s">
        <v>3005</v>
      </c>
      <c r="F112" t="s">
        <v>3006</v>
      </c>
      <c r="H112" t="s">
        <v>3007</v>
      </c>
    </row>
    <row r="113" ht="25.5" customHeight="1" spans="1:8">
      <c r="A113" t="s">
        <v>3008</v>
      </c>
      <c r="B113" t="s">
        <v>67</v>
      </c>
      <c r="C113" t="s">
        <v>3009</v>
      </c>
      <c r="E113" t="s">
        <v>3010</v>
      </c>
      <c r="F113" t="s">
        <v>3011</v>
      </c>
      <c r="H113" t="s">
        <v>3012</v>
      </c>
    </row>
    <row r="114" ht="25.5" customHeight="1" spans="1:8">
      <c r="A114" t="s">
        <v>3013</v>
      </c>
      <c r="B114" t="s">
        <v>3014</v>
      </c>
      <c r="C114" t="s">
        <v>3015</v>
      </c>
      <c r="E114" t="s">
        <v>3016</v>
      </c>
      <c r="F114" t="s">
        <v>3017</v>
      </c>
      <c r="H114" t="s">
        <v>3018</v>
      </c>
    </row>
    <row r="115" ht="25.5" customHeight="1" spans="1:8">
      <c r="A115" t="s">
        <v>3019</v>
      </c>
      <c r="B115" t="s">
        <v>3020</v>
      </c>
      <c r="C115" t="s">
        <v>3021</v>
      </c>
      <c r="E115" t="s">
        <v>3022</v>
      </c>
      <c r="F115" t="s">
        <v>3023</v>
      </c>
      <c r="H115" t="s">
        <v>3024</v>
      </c>
    </row>
    <row r="116" ht="25.5" customHeight="1" spans="1:8">
      <c r="A116" t="s">
        <v>3025</v>
      </c>
      <c r="B116" t="s">
        <v>3026</v>
      </c>
      <c r="C116" t="s">
        <v>3027</v>
      </c>
      <c r="E116" t="s">
        <v>3028</v>
      </c>
      <c r="F116" t="s">
        <v>3029</v>
      </c>
      <c r="H116" t="s">
        <v>3030</v>
      </c>
    </row>
    <row r="117" ht="25.5" customHeight="1" spans="1:8">
      <c r="A117" t="s">
        <v>3031</v>
      </c>
      <c r="B117" t="s">
        <v>3032</v>
      </c>
      <c r="C117" t="s">
        <v>3033</v>
      </c>
      <c r="E117" t="s">
        <v>3034</v>
      </c>
      <c r="F117" t="s">
        <v>3035</v>
      </c>
      <c r="H117" t="s">
        <v>3036</v>
      </c>
    </row>
    <row r="118" ht="25.5" customHeight="1" spans="1:8">
      <c r="A118" t="s">
        <v>3037</v>
      </c>
      <c r="B118" t="s">
        <v>50</v>
      </c>
      <c r="C118" t="s">
        <v>3038</v>
      </c>
      <c r="E118" t="s">
        <v>3039</v>
      </c>
      <c r="F118" t="s">
        <v>3040</v>
      </c>
      <c r="H118" t="s">
        <v>3041</v>
      </c>
    </row>
    <row r="119" ht="25.5" customHeight="1" spans="1:8">
      <c r="A119" t="s">
        <v>3042</v>
      </c>
      <c r="B119" t="s">
        <v>3043</v>
      </c>
      <c r="C119" t="s">
        <v>3044</v>
      </c>
      <c r="E119" t="s">
        <v>3045</v>
      </c>
      <c r="F119" t="s">
        <v>3046</v>
      </c>
      <c r="H119" t="s">
        <v>3047</v>
      </c>
    </row>
    <row r="120" ht="25.5" customHeight="1" spans="1:8">
      <c r="A120" t="s">
        <v>3048</v>
      </c>
      <c r="B120" t="s">
        <v>3049</v>
      </c>
      <c r="C120" t="s">
        <v>3050</v>
      </c>
      <c r="E120" t="s">
        <v>3051</v>
      </c>
      <c r="F120" t="s">
        <v>3052</v>
      </c>
      <c r="H120" t="s">
        <v>3053</v>
      </c>
    </row>
    <row r="121" ht="25.5" customHeight="1" spans="1:8">
      <c r="A121" t="s">
        <v>3054</v>
      </c>
      <c r="B121" t="s">
        <v>3055</v>
      </c>
      <c r="C121" t="s">
        <v>3056</v>
      </c>
      <c r="E121" t="s">
        <v>3057</v>
      </c>
      <c r="F121" t="s">
        <v>3058</v>
      </c>
      <c r="H121" t="s">
        <v>3059</v>
      </c>
    </row>
    <row r="122" ht="25.5" customHeight="1" spans="1:8">
      <c r="A122" t="s">
        <v>3060</v>
      </c>
      <c r="B122" t="s">
        <v>3061</v>
      </c>
      <c r="C122" t="s">
        <v>3062</v>
      </c>
      <c r="E122" t="s">
        <v>3063</v>
      </c>
      <c r="F122" t="s">
        <v>3064</v>
      </c>
      <c r="H122" t="s">
        <v>3065</v>
      </c>
    </row>
    <row r="123" ht="25.5" customHeight="1" spans="1:8">
      <c r="A123" t="s">
        <v>3066</v>
      </c>
      <c r="B123" t="s">
        <v>3067</v>
      </c>
      <c r="C123" t="s">
        <v>3068</v>
      </c>
      <c r="E123" t="s">
        <v>3069</v>
      </c>
      <c r="F123" t="s">
        <v>3070</v>
      </c>
      <c r="H123" t="s">
        <v>3071</v>
      </c>
    </row>
    <row r="124" ht="25.5" customHeight="1" spans="1:8">
      <c r="A124" t="s">
        <v>3072</v>
      </c>
      <c r="B124" t="s">
        <v>3073</v>
      </c>
      <c r="C124" t="s">
        <v>3074</v>
      </c>
      <c r="E124" t="s">
        <v>3075</v>
      </c>
      <c r="F124" t="s">
        <v>3076</v>
      </c>
      <c r="H124" t="s">
        <v>3077</v>
      </c>
    </row>
    <row r="125" ht="25.5" customHeight="1" spans="1:8">
      <c r="A125" t="s">
        <v>3078</v>
      </c>
      <c r="B125" t="s">
        <v>3079</v>
      </c>
      <c r="C125" t="s">
        <v>3080</v>
      </c>
      <c r="E125" t="s">
        <v>3081</v>
      </c>
      <c r="F125" t="s">
        <v>3082</v>
      </c>
      <c r="H125" t="s">
        <v>3083</v>
      </c>
    </row>
    <row r="126" ht="25.5" customHeight="1" spans="1:8">
      <c r="A126" t="s">
        <v>3084</v>
      </c>
      <c r="B126" t="s">
        <v>3085</v>
      </c>
      <c r="C126" t="s">
        <v>3086</v>
      </c>
      <c r="E126" t="s">
        <v>3087</v>
      </c>
      <c r="F126" t="s">
        <v>3088</v>
      </c>
      <c r="H126" t="s">
        <v>3089</v>
      </c>
    </row>
    <row r="127" ht="25.5" customHeight="1" spans="1:8">
      <c r="A127" t="s">
        <v>3090</v>
      </c>
      <c r="B127" t="s">
        <v>3091</v>
      </c>
      <c r="C127" t="s">
        <v>3092</v>
      </c>
      <c r="E127" t="s">
        <v>3093</v>
      </c>
      <c r="F127" t="s">
        <v>3094</v>
      </c>
      <c r="H127" t="s">
        <v>3095</v>
      </c>
    </row>
    <row r="128" ht="25.5" customHeight="1" spans="1:8">
      <c r="A128" t="s">
        <v>3096</v>
      </c>
      <c r="B128" t="s">
        <v>3097</v>
      </c>
      <c r="C128" t="s">
        <v>3098</v>
      </c>
      <c r="E128" t="s">
        <v>3099</v>
      </c>
      <c r="F128" t="s">
        <v>3100</v>
      </c>
      <c r="H128" t="s">
        <v>3101</v>
      </c>
    </row>
    <row r="129" ht="25.5" customHeight="1" spans="1:9">
      <c r="A129" t="s">
        <v>3102</v>
      </c>
      <c r="B129" t="s">
        <v>3103</v>
      </c>
      <c r="C129" t="s">
        <v>3104</v>
      </c>
      <c r="E129" t="s">
        <v>3105</v>
      </c>
      <c r="F129" t="s">
        <v>3106</v>
      </c>
      <c r="H129" t="s">
        <v>3107</v>
      </c>
    </row>
    <row r="130" ht="25.5" customHeight="1" spans="1:9">
      <c r="A130" t="s">
        <v>3108</v>
      </c>
      <c r="B130" t="s">
        <v>3109</v>
      </c>
      <c r="C130" t="s">
        <v>3110</v>
      </c>
      <c r="E130" t="s">
        <v>3111</v>
      </c>
      <c r="F130" t="s">
        <v>3112</v>
      </c>
      <c r="H130" t="s">
        <v>3113</v>
      </c>
    </row>
    <row r="131" ht="25.5" customHeight="1" spans="1:9">
      <c r="A131" t="s">
        <v>3114</v>
      </c>
      <c r="B131" t="s">
        <v>3115</v>
      </c>
      <c r="C131" t="s">
        <v>3116</v>
      </c>
      <c r="E131" t="s">
        <v>3117</v>
      </c>
      <c r="F131" t="s">
        <v>3118</v>
      </c>
      <c r="H131" t="s">
        <v>3119</v>
      </c>
    </row>
    <row r="132" ht="25.5" customHeight="1" spans="1:9">
      <c r="A132" t="s">
        <v>3120</v>
      </c>
      <c r="B132" t="s">
        <v>3121</v>
      </c>
      <c r="C132" t="s">
        <v>3122</v>
      </c>
      <c r="E132" t="s">
        <v>3123</v>
      </c>
      <c r="F132" t="s">
        <v>3124</v>
      </c>
      <c r="H132" t="s">
        <v>3125</v>
      </c>
    </row>
    <row r="133" ht="25.5" customHeight="1" spans="1:9">
      <c r="A133" t="s">
        <v>3126</v>
      </c>
      <c r="B133" t="s">
        <v>3127</v>
      </c>
      <c r="C133" t="s">
        <v>3128</v>
      </c>
      <c r="E133" t="s">
        <v>3129</v>
      </c>
      <c r="F133" t="s">
        <v>3130</v>
      </c>
      <c r="H133" t="s">
        <v>3131</v>
      </c>
    </row>
    <row r="134" ht="25.5" customHeight="1" spans="1:9">
      <c r="A134" t="s">
        <v>3132</v>
      </c>
      <c r="B134" t="s">
        <v>3133</v>
      </c>
      <c r="C134" t="s">
        <v>3134</v>
      </c>
      <c r="E134" t="s">
        <v>3135</v>
      </c>
      <c r="F134" t="s">
        <v>3136</v>
      </c>
      <c r="H134" t="s">
        <v>3137</v>
      </c>
    </row>
    <row r="135" ht="25.5" customHeight="1" spans="1:9">
      <c r="A135" t="s">
        <v>3138</v>
      </c>
      <c r="B135" t="s">
        <v>3139</v>
      </c>
      <c r="C135" t="s">
        <v>3140</v>
      </c>
      <c r="E135" t="s">
        <v>3141</v>
      </c>
      <c r="F135" t="s">
        <v>3142</v>
      </c>
      <c r="H135" t="s">
        <v>3143</v>
      </c>
    </row>
    <row r="136" ht="25.5" customHeight="1" spans="1:9">
      <c r="A136" t="s">
        <v>3144</v>
      </c>
      <c r="B136" t="s">
        <v>50</v>
      </c>
      <c r="C136" t="s">
        <v>3145</v>
      </c>
      <c r="E136" t="s">
        <v>3146</v>
      </c>
      <c r="F136" t="s">
        <v>3147</v>
      </c>
      <c r="H136" t="s">
        <v>3148</v>
      </c>
    </row>
    <row r="137" ht="25.5" customHeight="1" spans="1:9">
      <c r="A137" t="s">
        <v>3149</v>
      </c>
      <c r="B137" t="s">
        <v>3150</v>
      </c>
      <c r="C137" t="s">
        <v>3151</v>
      </c>
      <c r="E137" t="s">
        <v>3152</v>
      </c>
      <c r="F137" t="s">
        <v>3153</v>
      </c>
      <c r="H137" t="s">
        <v>3154</v>
      </c>
    </row>
    <row r="138" ht="25.5" customHeight="1" spans="1:9">
      <c r="A138" t="s">
        <v>3155</v>
      </c>
      <c r="B138" t="s">
        <v>3156</v>
      </c>
      <c r="C138" t="s">
        <v>3157</v>
      </c>
      <c r="E138" t="s">
        <v>3158</v>
      </c>
      <c r="F138" t="s">
        <v>3159</v>
      </c>
      <c r="H138" t="s">
        <v>3160</v>
      </c>
    </row>
    <row r="139" ht="25.5" customHeight="1" spans="1:9">
      <c r="A139" t="s">
        <v>3161</v>
      </c>
      <c r="B139" t="s">
        <v>3162</v>
      </c>
      <c r="C139" t="s">
        <v>3163</v>
      </c>
      <c r="E139" t="s">
        <v>3164</v>
      </c>
      <c r="F139" t="s">
        <v>3165</v>
      </c>
      <c r="H139" t="s">
        <v>3166</v>
      </c>
    </row>
    <row r="140" ht="25.5" customHeight="1" spans="1:9">
      <c r="A140" t="s">
        <v>3167</v>
      </c>
      <c r="B140" t="s">
        <v>33</v>
      </c>
      <c r="C140" t="s">
        <v>3168</v>
      </c>
      <c r="E140" t="s">
        <v>3169</v>
      </c>
      <c r="F140" t="s">
        <v>3170</v>
      </c>
      <c r="H140" t="s">
        <v>3171</v>
      </c>
    </row>
    <row r="141" ht="25.5" customHeight="1" spans="1:9">
      <c r="A141" t="s">
        <v>3172</v>
      </c>
      <c r="B141" t="s">
        <v>3173</v>
      </c>
      <c r="C141" t="s">
        <v>3174</v>
      </c>
      <c r="E141" t="s">
        <v>3175</v>
      </c>
      <c r="F141" t="s">
        <v>3176</v>
      </c>
      <c r="H141" t="s">
        <v>3177</v>
      </c>
    </row>
    <row r="142" ht="25.5" customHeight="1" spans="1:9">
      <c r="A142" t="s">
        <v>3178</v>
      </c>
      <c r="B142" t="s">
        <v>770</v>
      </c>
      <c r="C142" t="s">
        <v>3179</v>
      </c>
      <c r="E142" t="s">
        <v>3180</v>
      </c>
      <c r="F142" t="s">
        <v>3181</v>
      </c>
      <c r="H142" t="s">
        <v>3182</v>
      </c>
      <c r="I142" t="s">
        <v>3183</v>
      </c>
    </row>
    <row r="143" ht="25.5" customHeight="1" spans="1:9">
      <c r="A143" t="s">
        <v>3184</v>
      </c>
      <c r="B143" t="s">
        <v>3185</v>
      </c>
      <c r="C143" t="s">
        <v>3186</v>
      </c>
      <c r="E143" t="s">
        <v>3187</v>
      </c>
      <c r="F143" t="s">
        <v>3188</v>
      </c>
      <c r="H143" t="s">
        <v>3189</v>
      </c>
    </row>
    <row r="144" ht="25.5" customHeight="1" spans="1:9">
      <c r="A144" t="s">
        <v>3190</v>
      </c>
      <c r="B144" t="s">
        <v>3191</v>
      </c>
      <c r="C144" t="s">
        <v>3192</v>
      </c>
      <c r="E144" t="s">
        <v>3193</v>
      </c>
      <c r="F144" t="s">
        <v>3194</v>
      </c>
      <c r="H144" t="s">
        <v>3195</v>
      </c>
    </row>
    <row r="145" ht="25.5" customHeight="1" spans="1:8">
      <c r="A145" t="s">
        <v>3196</v>
      </c>
      <c r="B145" t="s">
        <v>3197</v>
      </c>
      <c r="C145" t="s">
        <v>3198</v>
      </c>
      <c r="E145" t="s">
        <v>3199</v>
      </c>
      <c r="F145" t="s">
        <v>3200</v>
      </c>
      <c r="H145" t="s">
        <v>3201</v>
      </c>
    </row>
    <row r="146" ht="25.5" customHeight="1" spans="1:8">
      <c r="A146" t="s">
        <v>3202</v>
      </c>
      <c r="B146" t="s">
        <v>3203</v>
      </c>
      <c r="C146" t="s">
        <v>3204</v>
      </c>
      <c r="E146" t="s">
        <v>3205</v>
      </c>
      <c r="F146" t="s">
        <v>3206</v>
      </c>
      <c r="H146" t="s">
        <v>3207</v>
      </c>
    </row>
    <row r="147" ht="25.5" customHeight="1" spans="1:8">
      <c r="A147" t="s">
        <v>3208</v>
      </c>
      <c r="B147" t="s">
        <v>34</v>
      </c>
      <c r="C147" t="s">
        <v>3209</v>
      </c>
      <c r="E147" t="s">
        <v>3210</v>
      </c>
      <c r="F147" t="s">
        <v>3211</v>
      </c>
      <c r="H147" t="s">
        <v>3212</v>
      </c>
    </row>
    <row r="148" ht="25.5" customHeight="1" spans="1:8">
      <c r="A148" t="s">
        <v>3213</v>
      </c>
      <c r="B148" t="s">
        <v>46</v>
      </c>
      <c r="C148" t="s">
        <v>3214</v>
      </c>
      <c r="E148" t="s">
        <v>3215</v>
      </c>
      <c r="F148" t="s">
        <v>3216</v>
      </c>
      <c r="H148" t="s">
        <v>3217</v>
      </c>
    </row>
    <row r="149" ht="25.5" customHeight="1" spans="1:8">
      <c r="A149" t="s">
        <v>3218</v>
      </c>
      <c r="B149" t="s">
        <v>48</v>
      </c>
      <c r="C149" t="s">
        <v>3219</v>
      </c>
      <c r="E149" t="s">
        <v>3220</v>
      </c>
      <c r="F149" t="s">
        <v>3221</v>
      </c>
      <c r="H149" t="s">
        <v>3222</v>
      </c>
    </row>
    <row r="150" ht="25.5" customHeight="1" spans="1:8">
      <c r="A150" t="s">
        <v>3223</v>
      </c>
      <c r="B150" t="s">
        <v>342</v>
      </c>
      <c r="C150" t="s">
        <v>3224</v>
      </c>
      <c r="E150" t="s">
        <v>3225</v>
      </c>
      <c r="F150" t="s">
        <v>3226</v>
      </c>
      <c r="H150" t="s">
        <v>3227</v>
      </c>
    </row>
    <row r="151" ht="25.5" customHeight="1" spans="1:8">
      <c r="A151" t="s">
        <v>3228</v>
      </c>
      <c r="B151" t="s">
        <v>38</v>
      </c>
      <c r="C151" t="s">
        <v>3229</v>
      </c>
      <c r="E151" t="s">
        <v>3230</v>
      </c>
      <c r="F151" t="s">
        <v>3231</v>
      </c>
      <c r="H151" t="s">
        <v>3232</v>
      </c>
    </row>
    <row r="152" ht="25.5" customHeight="1" spans="1:8">
      <c r="A152" t="s">
        <v>3233</v>
      </c>
      <c r="B152" t="s">
        <v>24</v>
      </c>
      <c r="C152" t="s">
        <v>3234</v>
      </c>
      <c r="E152" t="s">
        <v>3235</v>
      </c>
      <c r="F152" t="s">
        <v>3236</v>
      </c>
      <c r="H152" t="s">
        <v>3237</v>
      </c>
    </row>
    <row r="153" ht="25.5" customHeight="1" spans="1:8">
      <c r="A153" t="s">
        <v>3238</v>
      </c>
      <c r="B153" t="s">
        <v>45</v>
      </c>
      <c r="C153" t="s">
        <v>3239</v>
      </c>
      <c r="E153" t="s">
        <v>3240</v>
      </c>
      <c r="F153" t="s">
        <v>3241</v>
      </c>
      <c r="H153" t="s">
        <v>3242</v>
      </c>
    </row>
    <row r="154" ht="25.5" customHeight="1" spans="1:8">
      <c r="A154" t="s">
        <v>3243</v>
      </c>
      <c r="B154" t="s">
        <v>55</v>
      </c>
      <c r="C154" t="s">
        <v>3244</v>
      </c>
      <c r="E154" t="s">
        <v>3245</v>
      </c>
      <c r="F154" t="s">
        <v>3246</v>
      </c>
      <c r="H154" t="s">
        <v>3247</v>
      </c>
    </row>
    <row r="155" ht="25.5" customHeight="1" spans="1:8">
      <c r="A155" t="s">
        <v>3248</v>
      </c>
      <c r="B155" t="s">
        <v>3249</v>
      </c>
      <c r="C155" t="s">
        <v>3250</v>
      </c>
      <c r="E155" t="s">
        <v>3251</v>
      </c>
      <c r="F155" t="s">
        <v>3252</v>
      </c>
      <c r="H155" t="s">
        <v>3253</v>
      </c>
    </row>
    <row r="156" ht="25.5" customHeight="1" spans="1:8">
      <c r="A156" t="s">
        <v>3254</v>
      </c>
      <c r="B156" t="s">
        <v>41</v>
      </c>
      <c r="C156" t="s">
        <v>3255</v>
      </c>
      <c r="E156" t="s">
        <v>3256</v>
      </c>
      <c r="F156" t="s">
        <v>3257</v>
      </c>
      <c r="H156" t="s">
        <v>3258</v>
      </c>
    </row>
    <row r="157" ht="25.5" customHeight="1" spans="1:8">
      <c r="A157" t="s">
        <v>3259</v>
      </c>
      <c r="B157" t="s">
        <v>2428</v>
      </c>
      <c r="C157" t="s">
        <v>3260</v>
      </c>
      <c r="E157" t="s">
        <v>3261</v>
      </c>
      <c r="F157" t="s">
        <v>3262</v>
      </c>
      <c r="H157" t="s">
        <v>3263</v>
      </c>
    </row>
    <row r="158" ht="25.5" customHeight="1" spans="1:8">
      <c r="A158" t="s">
        <v>3264</v>
      </c>
      <c r="B158" t="s">
        <v>49</v>
      </c>
      <c r="C158" t="s">
        <v>3265</v>
      </c>
      <c r="E158" t="s">
        <v>3266</v>
      </c>
      <c r="F158" t="s">
        <v>3267</v>
      </c>
      <c r="H158" t="s">
        <v>3268</v>
      </c>
    </row>
    <row r="159" ht="25.5" customHeight="1" spans="1:8">
      <c r="A159" t="s">
        <v>3269</v>
      </c>
      <c r="B159" t="s">
        <v>52</v>
      </c>
      <c r="C159" t="s">
        <v>3270</v>
      </c>
      <c r="E159" t="s">
        <v>3271</v>
      </c>
      <c r="F159" t="s">
        <v>3272</v>
      </c>
      <c r="H159" t="s">
        <v>3273</v>
      </c>
    </row>
    <row r="160" ht="25.5" customHeight="1" spans="1:8">
      <c r="A160" t="s">
        <v>3274</v>
      </c>
      <c r="B160" t="s">
        <v>395</v>
      </c>
      <c r="C160" t="s">
        <v>3275</v>
      </c>
      <c r="E160" t="s">
        <v>3276</v>
      </c>
      <c r="F160" t="s">
        <v>3277</v>
      </c>
      <c r="H160" t="s">
        <v>3278</v>
      </c>
    </row>
    <row r="161" ht="25.5" customHeight="1" spans="1:8">
      <c r="A161" t="s">
        <v>3279</v>
      </c>
      <c r="B161" t="s">
        <v>33</v>
      </c>
      <c r="C161" t="s">
        <v>3280</v>
      </c>
      <c r="E161" t="s">
        <v>3281</v>
      </c>
      <c r="F161" t="s">
        <v>3282</v>
      </c>
      <c r="H161" t="s">
        <v>3283</v>
      </c>
    </row>
    <row r="162" ht="25.5" customHeight="1" spans="1:8">
      <c r="A162" t="s">
        <v>3284</v>
      </c>
      <c r="B162" t="s">
        <v>56</v>
      </c>
      <c r="C162" t="s">
        <v>3285</v>
      </c>
      <c r="F162" t="s">
        <v>3286</v>
      </c>
      <c r="H162" t="s">
        <v>3287</v>
      </c>
    </row>
    <row r="163" ht="25.5" customHeight="1" spans="1:8">
      <c r="A163" t="s">
        <v>3288</v>
      </c>
      <c r="B163" t="s">
        <v>2428</v>
      </c>
      <c r="C163" t="s">
        <v>3289</v>
      </c>
      <c r="E163" t="s">
        <v>3290</v>
      </c>
      <c r="F163" t="s">
        <v>3291</v>
      </c>
      <c r="H163" t="s">
        <v>3292</v>
      </c>
    </row>
    <row r="164" ht="25.5" customHeight="1" spans="1:8">
      <c r="A164" t="s">
        <v>3293</v>
      </c>
      <c r="B164" t="s">
        <v>342</v>
      </c>
      <c r="C164" t="s">
        <v>3294</v>
      </c>
      <c r="E164" t="s">
        <v>3295</v>
      </c>
      <c r="F164" t="s">
        <v>3296</v>
      </c>
      <c r="G164" t="s">
        <v>3297</v>
      </c>
      <c r="H164" t="s">
        <v>3298</v>
      </c>
    </row>
    <row r="165" ht="25.5" customHeight="1" spans="1:8">
      <c r="A165" t="s">
        <v>3299</v>
      </c>
      <c r="B165" t="s">
        <v>53</v>
      </c>
      <c r="C165" t="s">
        <v>3300</v>
      </c>
      <c r="E165" t="s">
        <v>3301</v>
      </c>
      <c r="F165" t="s">
        <v>3302</v>
      </c>
      <c r="H165" t="s">
        <v>3303</v>
      </c>
    </row>
    <row r="166" ht="25.5" customHeight="1" spans="1:8">
      <c r="A166" t="s">
        <v>3304</v>
      </c>
      <c r="B166" t="s">
        <v>39</v>
      </c>
      <c r="C166" t="s">
        <v>3305</v>
      </c>
      <c r="E166" t="s">
        <v>3306</v>
      </c>
      <c r="F166" t="s">
        <v>3307</v>
      </c>
      <c r="H166" t="s">
        <v>3308</v>
      </c>
    </row>
    <row r="167" ht="25.5" customHeight="1" spans="1:8">
      <c r="A167" t="s">
        <v>3309</v>
      </c>
      <c r="B167" t="s">
        <v>35</v>
      </c>
      <c r="C167" t="s">
        <v>3310</v>
      </c>
      <c r="E167" t="s">
        <v>3311</v>
      </c>
      <c r="F167" t="s">
        <v>3312</v>
      </c>
      <c r="H167" t="s">
        <v>3313</v>
      </c>
    </row>
    <row r="168" ht="25.5" customHeight="1" spans="1:8">
      <c r="A168" t="s">
        <v>3314</v>
      </c>
      <c r="B168" t="s">
        <v>3315</v>
      </c>
      <c r="C168" t="s">
        <v>3316</v>
      </c>
      <c r="E168" t="s">
        <v>3317</v>
      </c>
      <c r="F168" t="s">
        <v>3318</v>
      </c>
      <c r="H168" t="s">
        <v>3319</v>
      </c>
    </row>
    <row r="169" ht="25.5" customHeight="1" spans="1:8">
      <c r="A169" t="s">
        <v>3320</v>
      </c>
      <c r="B169" t="s">
        <v>3321</v>
      </c>
      <c r="C169" t="s">
        <v>3322</v>
      </c>
      <c r="E169" t="s">
        <v>3323</v>
      </c>
      <c r="F169" t="s">
        <v>3324</v>
      </c>
      <c r="H169" t="s">
        <v>3325</v>
      </c>
    </row>
    <row r="170" ht="25.5" customHeight="1" spans="1:8">
      <c r="A170" t="s">
        <v>3326</v>
      </c>
      <c r="B170" t="s">
        <v>2422</v>
      </c>
      <c r="C170" t="s">
        <v>3327</v>
      </c>
      <c r="E170" t="s">
        <v>3328</v>
      </c>
      <c r="F170" t="s">
        <v>3329</v>
      </c>
      <c r="H170" t="s">
        <v>3330</v>
      </c>
    </row>
    <row r="171" ht="25.5" customHeight="1" spans="1:8">
      <c r="A171" t="s">
        <v>3331</v>
      </c>
      <c r="B171" t="s">
        <v>41</v>
      </c>
      <c r="C171" t="s">
        <v>3332</v>
      </c>
      <c r="E171" t="s">
        <v>3333</v>
      </c>
      <c r="F171" t="s">
        <v>3334</v>
      </c>
      <c r="H171" t="s">
        <v>3335</v>
      </c>
    </row>
    <row r="172" ht="25.5" customHeight="1" spans="1:8">
      <c r="A172" t="s">
        <v>3336</v>
      </c>
      <c r="B172" t="s">
        <v>34</v>
      </c>
      <c r="C172" t="s">
        <v>3337</v>
      </c>
      <c r="E172" t="s">
        <v>3338</v>
      </c>
      <c r="F172" t="s">
        <v>3339</v>
      </c>
      <c r="H172" t="s">
        <v>3340</v>
      </c>
    </row>
    <row r="173" ht="25.5" customHeight="1" spans="1:8">
      <c r="A173" t="s">
        <v>3341</v>
      </c>
      <c r="B173" t="s">
        <v>49</v>
      </c>
      <c r="C173" t="s">
        <v>3342</v>
      </c>
      <c r="E173" t="s">
        <v>3343</v>
      </c>
      <c r="F173" t="s">
        <v>3344</v>
      </c>
      <c r="H173" t="s">
        <v>3345</v>
      </c>
    </row>
    <row r="174" ht="25.5" customHeight="1" spans="1:8">
      <c r="A174" t="s">
        <v>3346</v>
      </c>
      <c r="B174" t="s">
        <v>38</v>
      </c>
      <c r="C174" t="s">
        <v>3347</v>
      </c>
      <c r="E174" t="s">
        <v>3348</v>
      </c>
      <c r="F174" t="s">
        <v>3349</v>
      </c>
      <c r="H174" t="s">
        <v>3350</v>
      </c>
    </row>
    <row r="175" ht="25.5" customHeight="1" spans="1:8">
      <c r="A175" t="s">
        <v>3351</v>
      </c>
      <c r="B175" t="s">
        <v>51</v>
      </c>
      <c r="C175" t="s">
        <v>3352</v>
      </c>
      <c r="E175" t="s">
        <v>3353</v>
      </c>
      <c r="F175" t="s">
        <v>3354</v>
      </c>
      <c r="H175" t="s">
        <v>3355</v>
      </c>
    </row>
    <row r="176" ht="25.5" customHeight="1" spans="1:8">
      <c r="A176" t="s">
        <v>3356</v>
      </c>
      <c r="B176" t="s">
        <v>3357</v>
      </c>
      <c r="C176" t="s">
        <v>3358</v>
      </c>
      <c r="E176" t="s">
        <v>3359</v>
      </c>
      <c r="F176" t="s">
        <v>3360</v>
      </c>
      <c r="H176" t="s">
        <v>3361</v>
      </c>
    </row>
    <row r="177" ht="25.5" customHeight="1" spans="1:8">
      <c r="A177" t="s">
        <v>3362</v>
      </c>
      <c r="B177" t="s">
        <v>46</v>
      </c>
      <c r="C177" t="s">
        <v>584</v>
      </c>
      <c r="E177" t="s">
        <v>3363</v>
      </c>
      <c r="F177" t="s">
        <v>3364</v>
      </c>
      <c r="H177" t="s">
        <v>3365</v>
      </c>
    </row>
    <row r="178" ht="25.5" customHeight="1" spans="1:8">
      <c r="A178" t="s">
        <v>3366</v>
      </c>
      <c r="B178" t="s">
        <v>55</v>
      </c>
      <c r="C178" t="s">
        <v>3367</v>
      </c>
      <c r="E178" t="s">
        <v>3368</v>
      </c>
      <c r="F178" t="s">
        <v>3369</v>
      </c>
      <c r="H178" t="s">
        <v>3370</v>
      </c>
    </row>
    <row r="179" ht="25.5" customHeight="1" spans="1:8">
      <c r="A179" t="s">
        <v>3371</v>
      </c>
      <c r="B179" t="s">
        <v>63</v>
      </c>
      <c r="C179" t="s">
        <v>3372</v>
      </c>
      <c r="E179" t="s">
        <v>3373</v>
      </c>
      <c r="F179" t="s">
        <v>3374</v>
      </c>
      <c r="H179" t="s">
        <v>3375</v>
      </c>
    </row>
    <row r="180" ht="25.5" customHeight="1" spans="1:8">
      <c r="A180" t="s">
        <v>3376</v>
      </c>
      <c r="B180" t="s">
        <v>65</v>
      </c>
      <c r="C180" t="s">
        <v>3377</v>
      </c>
      <c r="E180" t="s">
        <v>3378</v>
      </c>
      <c r="F180" t="s">
        <v>3379</v>
      </c>
      <c r="H180" t="s">
        <v>3380</v>
      </c>
    </row>
    <row r="181" ht="25.5" customHeight="1" spans="1:8">
      <c r="A181" t="s">
        <v>3381</v>
      </c>
      <c r="B181" t="s">
        <v>11</v>
      </c>
      <c r="C181" t="s">
        <v>186</v>
      </c>
      <c r="E181" t="s">
        <v>3382</v>
      </c>
      <c r="F181" t="s">
        <v>3383</v>
      </c>
      <c r="H181" t="s">
        <v>3384</v>
      </c>
    </row>
    <row r="182" ht="25.5" customHeight="1" spans="1:8">
      <c r="A182" t="s">
        <v>3385</v>
      </c>
      <c r="B182" t="s">
        <v>2422</v>
      </c>
      <c r="C182" t="s">
        <v>3386</v>
      </c>
      <c r="E182" t="s">
        <v>3387</v>
      </c>
      <c r="F182" t="s">
        <v>3388</v>
      </c>
      <c r="H182" t="s">
        <v>3389</v>
      </c>
    </row>
    <row r="183" ht="25.5" customHeight="1" spans="1:8">
      <c r="A183" t="s">
        <v>3390</v>
      </c>
      <c r="B183" t="s">
        <v>33</v>
      </c>
      <c r="C183" t="s">
        <v>3391</v>
      </c>
      <c r="E183" t="s">
        <v>3392</v>
      </c>
      <c r="F183" t="s">
        <v>3393</v>
      </c>
      <c r="H183" t="s">
        <v>3394</v>
      </c>
    </row>
    <row r="184" ht="25.5" customHeight="1" spans="1:8">
      <c r="A184" t="s">
        <v>3395</v>
      </c>
      <c r="B184" t="s">
        <v>45</v>
      </c>
      <c r="C184" t="s">
        <v>3396</v>
      </c>
      <c r="E184" t="s">
        <v>3397</v>
      </c>
      <c r="F184" t="s">
        <v>3398</v>
      </c>
      <c r="H184" t="s">
        <v>3399</v>
      </c>
    </row>
    <row r="185" ht="25.5" customHeight="1" spans="1:8">
      <c r="A185" t="s">
        <v>3400</v>
      </c>
      <c r="B185" t="s">
        <v>41</v>
      </c>
      <c r="C185" t="s">
        <v>3401</v>
      </c>
      <c r="E185" t="s">
        <v>3402</v>
      </c>
      <c r="F185" t="s">
        <v>3403</v>
      </c>
      <c r="H185" t="s">
        <v>3404</v>
      </c>
    </row>
    <row r="186" ht="25.5" customHeight="1" spans="1:8">
      <c r="A186" t="s">
        <v>3405</v>
      </c>
      <c r="B186" t="s">
        <v>48</v>
      </c>
      <c r="C186" t="s">
        <v>3406</v>
      </c>
      <c r="E186" t="s">
        <v>3407</v>
      </c>
      <c r="F186" t="s">
        <v>3408</v>
      </c>
      <c r="H186" t="s">
        <v>3409</v>
      </c>
    </row>
    <row r="187" ht="25.5" customHeight="1" spans="1:8">
      <c r="A187" t="s">
        <v>3410</v>
      </c>
      <c r="B187" t="s">
        <v>56</v>
      </c>
      <c r="C187" t="s">
        <v>3411</v>
      </c>
      <c r="E187" t="s">
        <v>3412</v>
      </c>
      <c r="F187" t="s">
        <v>3413</v>
      </c>
      <c r="H187" t="s">
        <v>3414</v>
      </c>
    </row>
    <row r="188" ht="25.5" customHeight="1" spans="1:8">
      <c r="A188" t="s">
        <v>3415</v>
      </c>
      <c r="B188" t="s">
        <v>34</v>
      </c>
      <c r="C188" t="s">
        <v>3416</v>
      </c>
      <c r="E188" t="s">
        <v>3417</v>
      </c>
      <c r="F188" t="s">
        <v>3418</v>
      </c>
      <c r="H188" t="s">
        <v>3419</v>
      </c>
    </row>
    <row r="189" ht="25.5" customHeight="1" spans="1:8">
      <c r="A189" t="s">
        <v>3420</v>
      </c>
      <c r="B189" t="s">
        <v>24</v>
      </c>
      <c r="C189" t="s">
        <v>292</v>
      </c>
      <c r="E189" t="s">
        <v>3421</v>
      </c>
      <c r="F189" t="s">
        <v>3422</v>
      </c>
      <c r="H189" t="s">
        <v>3423</v>
      </c>
    </row>
    <row r="190" ht="25.5" customHeight="1" spans="1:8">
      <c r="A190" t="s">
        <v>3424</v>
      </c>
      <c r="B190" t="s">
        <v>395</v>
      </c>
      <c r="C190" t="s">
        <v>396</v>
      </c>
      <c r="E190" t="s">
        <v>3425</v>
      </c>
      <c r="F190" t="s">
        <v>3426</v>
      </c>
      <c r="H190" t="s">
        <v>3427</v>
      </c>
    </row>
    <row r="191" ht="25.5" customHeight="1" spans="1:8">
      <c r="A191" t="s">
        <v>3428</v>
      </c>
      <c r="B191" t="s">
        <v>53</v>
      </c>
      <c r="C191" t="s">
        <v>3429</v>
      </c>
      <c r="E191" t="s">
        <v>3430</v>
      </c>
      <c r="F191" t="s">
        <v>3431</v>
      </c>
      <c r="H191" t="s">
        <v>3432</v>
      </c>
    </row>
    <row r="192" ht="25.5" customHeight="1" spans="1:8">
      <c r="A192" t="s">
        <v>3433</v>
      </c>
      <c r="B192" t="s">
        <v>43</v>
      </c>
      <c r="C192" t="s">
        <v>728</v>
      </c>
      <c r="E192" t="s">
        <v>3434</v>
      </c>
      <c r="F192" t="s">
        <v>3435</v>
      </c>
      <c r="H192" t="s">
        <v>3436</v>
      </c>
    </row>
    <row r="193" ht="25.5" customHeight="1" spans="1:9">
      <c r="A193" t="s">
        <v>3437</v>
      </c>
      <c r="B193" t="s">
        <v>67</v>
      </c>
      <c r="C193" t="s">
        <v>609</v>
      </c>
      <c r="E193" t="s">
        <v>3438</v>
      </c>
      <c r="F193" t="s">
        <v>3439</v>
      </c>
      <c r="H193" t="s">
        <v>3440</v>
      </c>
      <c r="I193" t="s">
        <v>3441</v>
      </c>
    </row>
    <row r="194" ht="25.5" customHeight="1" spans="1:9">
      <c r="A194" t="s">
        <v>3442</v>
      </c>
      <c r="B194" t="s">
        <v>38</v>
      </c>
      <c r="C194" t="s">
        <v>3443</v>
      </c>
      <c r="E194" t="s">
        <v>3444</v>
      </c>
      <c r="F194" t="s">
        <v>3445</v>
      </c>
      <c r="H194" t="s">
        <v>3446</v>
      </c>
    </row>
    <row r="195" ht="25.5" customHeight="1" spans="1:9">
      <c r="A195" t="s">
        <v>3447</v>
      </c>
      <c r="B195" t="s">
        <v>342</v>
      </c>
      <c r="C195" t="s">
        <v>3448</v>
      </c>
      <c r="E195" t="s">
        <v>3449</v>
      </c>
      <c r="F195" t="s">
        <v>3450</v>
      </c>
      <c r="G195" t="s">
        <v>3451</v>
      </c>
      <c r="H195" t="s">
        <v>3452</v>
      </c>
    </row>
    <row r="196" ht="25.5" customHeight="1" spans="1:9">
      <c r="A196" t="s">
        <v>3453</v>
      </c>
      <c r="B196" t="s">
        <v>3454</v>
      </c>
      <c r="C196" t="s">
        <v>3455</v>
      </c>
      <c r="E196" t="s">
        <v>3456</v>
      </c>
      <c r="F196" t="s">
        <v>3457</v>
      </c>
      <c r="H196" t="s">
        <v>3458</v>
      </c>
    </row>
    <row r="197" ht="25.5" customHeight="1" spans="1:9">
      <c r="A197" t="s">
        <v>3459</v>
      </c>
      <c r="B197" t="s">
        <v>35</v>
      </c>
      <c r="C197" t="s">
        <v>3460</v>
      </c>
      <c r="E197" t="s">
        <v>3461</v>
      </c>
      <c r="F197" t="s">
        <v>3462</v>
      </c>
      <c r="H197" t="s">
        <v>3463</v>
      </c>
    </row>
    <row r="198" ht="25.5" customHeight="1" spans="1:9">
      <c r="A198" t="s">
        <v>3464</v>
      </c>
      <c r="B198" t="s">
        <v>55</v>
      </c>
      <c r="C198" t="s">
        <v>3465</v>
      </c>
      <c r="E198" t="s">
        <v>3466</v>
      </c>
      <c r="F198" t="s">
        <v>3467</v>
      </c>
      <c r="H198" t="s">
        <v>3468</v>
      </c>
    </row>
    <row r="199" ht="25.5" customHeight="1" spans="1:9">
      <c r="A199" t="s">
        <v>3469</v>
      </c>
      <c r="B199" t="s">
        <v>3470</v>
      </c>
      <c r="C199" t="s">
        <v>3471</v>
      </c>
      <c r="E199" t="s">
        <v>3472</v>
      </c>
      <c r="F199" t="s">
        <v>3473</v>
      </c>
      <c r="H199" t="s">
        <v>3474</v>
      </c>
    </row>
    <row r="200" ht="25.5" customHeight="1" spans="1:9">
      <c r="A200" t="s">
        <v>3475</v>
      </c>
      <c r="B200" t="s">
        <v>1006</v>
      </c>
      <c r="C200" t="s">
        <v>3476</v>
      </c>
      <c r="E200" t="s">
        <v>3477</v>
      </c>
      <c r="F200" t="s">
        <v>3478</v>
      </c>
      <c r="H200" t="s">
        <v>3479</v>
      </c>
    </row>
    <row r="201" ht="25.5" customHeight="1" spans="1:9">
      <c r="A201" t="s">
        <v>3480</v>
      </c>
      <c r="B201" t="s">
        <v>1032</v>
      </c>
      <c r="C201" t="s">
        <v>3481</v>
      </c>
      <c r="E201" t="s">
        <v>3482</v>
      </c>
      <c r="F201" t="s">
        <v>3483</v>
      </c>
      <c r="H201" t="s">
        <v>3484</v>
      </c>
    </row>
    <row r="202" ht="25.5" customHeight="1" spans="1:9">
      <c r="A202" t="s">
        <v>3485</v>
      </c>
      <c r="B202" t="s">
        <v>41</v>
      </c>
      <c r="C202" t="s">
        <v>3486</v>
      </c>
      <c r="E202" t="s">
        <v>3487</v>
      </c>
      <c r="F202" t="s">
        <v>3488</v>
      </c>
      <c r="H202" t="s">
        <v>3489</v>
      </c>
    </row>
    <row r="203" ht="25.5" customHeight="1" spans="1:9">
      <c r="A203" t="s">
        <v>3490</v>
      </c>
      <c r="B203" t="s">
        <v>50</v>
      </c>
      <c r="C203" t="s">
        <v>596</v>
      </c>
      <c r="E203" t="s">
        <v>3491</v>
      </c>
      <c r="F203" t="s">
        <v>3492</v>
      </c>
      <c r="H203" t="s">
        <v>3493</v>
      </c>
    </row>
    <row r="204" ht="25.5" customHeight="1" spans="1:9">
      <c r="A204" t="s">
        <v>3494</v>
      </c>
      <c r="B204" t="s">
        <v>53</v>
      </c>
      <c r="C204" t="s">
        <v>438</v>
      </c>
      <c r="E204" t="s">
        <v>3495</v>
      </c>
      <c r="F204" t="s">
        <v>3496</v>
      </c>
      <c r="H204" t="s">
        <v>3497</v>
      </c>
    </row>
    <row r="205" ht="25.5" customHeight="1" spans="1:9">
      <c r="A205" t="s">
        <v>3498</v>
      </c>
      <c r="B205" t="s">
        <v>39</v>
      </c>
      <c r="C205" t="s">
        <v>474</v>
      </c>
      <c r="E205" t="s">
        <v>3499</v>
      </c>
      <c r="F205" t="s">
        <v>3500</v>
      </c>
      <c r="H205" t="s">
        <v>3501</v>
      </c>
    </row>
    <row r="206" ht="25.5" customHeight="1" spans="1:9">
      <c r="A206" t="s">
        <v>3502</v>
      </c>
      <c r="B206" t="s">
        <v>2422</v>
      </c>
      <c r="C206" t="s">
        <v>3503</v>
      </c>
      <c r="E206" t="s">
        <v>3504</v>
      </c>
      <c r="F206" t="s">
        <v>3505</v>
      </c>
      <c r="H206" t="s">
        <v>3506</v>
      </c>
    </row>
    <row r="207" ht="25.5" customHeight="1" spans="1:9">
      <c r="A207" t="s">
        <v>3507</v>
      </c>
      <c r="B207" t="s">
        <v>45</v>
      </c>
      <c r="C207" t="s">
        <v>365</v>
      </c>
      <c r="E207" t="s">
        <v>3508</v>
      </c>
      <c r="F207" t="s">
        <v>3509</v>
      </c>
      <c r="H207" t="s">
        <v>3510</v>
      </c>
    </row>
    <row r="208" ht="25.5" customHeight="1" spans="1:9">
      <c r="A208" t="s">
        <v>3511</v>
      </c>
      <c r="B208" t="s">
        <v>33</v>
      </c>
      <c r="C208" t="s">
        <v>214</v>
      </c>
      <c r="E208" t="s">
        <v>3512</v>
      </c>
      <c r="F208" t="s">
        <v>3513</v>
      </c>
      <c r="H208" t="s">
        <v>3514</v>
      </c>
    </row>
    <row r="209" ht="25.5" customHeight="1" spans="1:9">
      <c r="A209" t="s">
        <v>3515</v>
      </c>
      <c r="B209" t="s">
        <v>330</v>
      </c>
      <c r="C209" t="s">
        <v>331</v>
      </c>
      <c r="E209" t="s">
        <v>3516</v>
      </c>
      <c r="F209" t="s">
        <v>3517</v>
      </c>
      <c r="H209" t="s">
        <v>3518</v>
      </c>
    </row>
    <row r="210" ht="25.5" customHeight="1" spans="1:9">
      <c r="A210" t="s">
        <v>3519</v>
      </c>
      <c r="B210" t="s">
        <v>62</v>
      </c>
      <c r="C210" t="s">
        <v>3520</v>
      </c>
      <c r="E210" t="s">
        <v>3521</v>
      </c>
      <c r="F210" t="s">
        <v>3522</v>
      </c>
      <c r="H210" t="s">
        <v>3523</v>
      </c>
    </row>
    <row r="211" ht="25.5" customHeight="1" spans="1:9">
      <c r="A211" t="s">
        <v>3524</v>
      </c>
      <c r="B211" t="s">
        <v>3357</v>
      </c>
      <c r="C211" t="s">
        <v>424</v>
      </c>
      <c r="E211" t="s">
        <v>3525</v>
      </c>
      <c r="F211" t="s">
        <v>3526</v>
      </c>
      <c r="H211" t="s">
        <v>3527</v>
      </c>
      <c r="I211" t="s">
        <v>3528</v>
      </c>
    </row>
    <row r="212" ht="25.5" customHeight="1" spans="1:9">
      <c r="A212" t="s">
        <v>3529</v>
      </c>
      <c r="B212" t="s">
        <v>3530</v>
      </c>
      <c r="C212" t="s">
        <v>771</v>
      </c>
      <c r="E212" t="s">
        <v>3531</v>
      </c>
      <c r="F212" t="s">
        <v>3532</v>
      </c>
      <c r="H212" t="s">
        <v>3533</v>
      </c>
    </row>
    <row r="213" ht="25.5" customHeight="1" spans="1:9">
      <c r="A213" t="s">
        <v>3534</v>
      </c>
      <c r="B213" t="s">
        <v>78</v>
      </c>
      <c r="C213" t="s">
        <v>646</v>
      </c>
      <c r="E213" t="s">
        <v>3535</v>
      </c>
      <c r="F213" t="s">
        <v>3536</v>
      </c>
      <c r="H213" t="s">
        <v>3537</v>
      </c>
      <c r="I213" t="s">
        <v>3538</v>
      </c>
    </row>
    <row r="214" ht="25.5" customHeight="1" spans="1:9">
      <c r="A214" t="s">
        <v>3539</v>
      </c>
      <c r="B214" t="s">
        <v>3540</v>
      </c>
      <c r="C214" t="s">
        <v>313</v>
      </c>
      <c r="E214" t="s">
        <v>3541</v>
      </c>
      <c r="F214" t="s">
        <v>3542</v>
      </c>
      <c r="H214" t="s">
        <v>3543</v>
      </c>
    </row>
    <row r="215" ht="25.5" customHeight="1" spans="1:9">
      <c r="A215" t="s">
        <v>3544</v>
      </c>
      <c r="B215" t="s">
        <v>3545</v>
      </c>
      <c r="C215" t="s">
        <v>3546</v>
      </c>
      <c r="E215" t="s">
        <v>3547</v>
      </c>
      <c r="F215" t="s">
        <v>3548</v>
      </c>
      <c r="H215" t="s">
        <v>3549</v>
      </c>
    </row>
    <row r="216" ht="25.5" customHeight="1" spans="1:9">
      <c r="A216" t="s">
        <v>3550</v>
      </c>
      <c r="B216" t="s">
        <v>711</v>
      </c>
      <c r="C216" t="s">
        <v>712</v>
      </c>
      <c r="E216" t="s">
        <v>3551</v>
      </c>
      <c r="F216" t="s">
        <v>3552</v>
      </c>
      <c r="H216" t="s">
        <v>3553</v>
      </c>
    </row>
    <row r="217" ht="25.5" customHeight="1" spans="1:9">
      <c r="A217" t="s">
        <v>3554</v>
      </c>
      <c r="B217" t="s">
        <v>48</v>
      </c>
      <c r="C217" t="s">
        <v>550</v>
      </c>
      <c r="E217" t="s">
        <v>3555</v>
      </c>
      <c r="F217" t="s">
        <v>3556</v>
      </c>
      <c r="H217" t="s">
        <v>3557</v>
      </c>
    </row>
    <row r="218" ht="25.5" customHeight="1" spans="1:9">
      <c r="A218" t="s">
        <v>3558</v>
      </c>
      <c r="B218" t="s">
        <v>3559</v>
      </c>
      <c r="C218" t="s">
        <v>3560</v>
      </c>
      <c r="E218" t="s">
        <v>3561</v>
      </c>
      <c r="F218" t="s">
        <v>3562</v>
      </c>
      <c r="G218" t="s">
        <v>3563</v>
      </c>
      <c r="H218" t="s">
        <v>3564</v>
      </c>
    </row>
    <row r="219" ht="25.5" customHeight="1" spans="1:9">
      <c r="B219" t="s">
        <v>3559</v>
      </c>
      <c r="C219" t="s">
        <v>3565</v>
      </c>
      <c r="E219" t="s">
        <v>3566</v>
      </c>
      <c r="G219" t="s">
        <v>3567</v>
      </c>
    </row>
    <row r="220" ht="25.5" customHeight="1" spans="1:9">
      <c r="B220" t="s">
        <v>3559</v>
      </c>
      <c r="C220" t="s">
        <v>3568</v>
      </c>
      <c r="E220" t="s">
        <v>3569</v>
      </c>
      <c r="G220" t="s">
        <v>3570</v>
      </c>
    </row>
    <row r="221" ht="25.5" customHeight="1" spans="1:9">
      <c r="B221" t="s">
        <v>3559</v>
      </c>
      <c r="C221" t="s">
        <v>3571</v>
      </c>
      <c r="E221" t="s">
        <v>3572</v>
      </c>
      <c r="G221" t="s">
        <v>3573</v>
      </c>
    </row>
    <row r="222" ht="25.5" customHeight="1" spans="1:9">
      <c r="A222" t="s">
        <v>3574</v>
      </c>
      <c r="B222" t="s">
        <v>55</v>
      </c>
      <c r="C222" t="s">
        <v>3575</v>
      </c>
      <c r="E222" t="s">
        <v>3576</v>
      </c>
      <c r="F222" t="s">
        <v>3577</v>
      </c>
      <c r="H222" t="s">
        <v>3578</v>
      </c>
    </row>
    <row r="223" ht="25.5" customHeight="1" spans="1:9">
      <c r="A223" t="s">
        <v>3579</v>
      </c>
      <c r="B223" t="s">
        <v>1689</v>
      </c>
      <c r="C223" t="s">
        <v>565</v>
      </c>
      <c r="E223" t="s">
        <v>3580</v>
      </c>
      <c r="F223" t="s">
        <v>3581</v>
      </c>
      <c r="H223" t="s">
        <v>3582</v>
      </c>
    </row>
    <row r="224" ht="25.5" customHeight="1" spans="1:9">
      <c r="A224" t="s">
        <v>3583</v>
      </c>
      <c r="B224" t="s">
        <v>3454</v>
      </c>
      <c r="C224" t="s">
        <v>520</v>
      </c>
      <c r="E224" t="s">
        <v>3584</v>
      </c>
      <c r="F224" t="s">
        <v>3585</v>
      </c>
      <c r="H224" t="s">
        <v>3586</v>
      </c>
    </row>
    <row r="225" ht="25.5" customHeight="1" spans="1:9">
      <c r="A225" t="s">
        <v>3587</v>
      </c>
      <c r="B225" t="s">
        <v>34</v>
      </c>
      <c r="C225" t="s">
        <v>502</v>
      </c>
      <c r="E225" t="s">
        <v>3588</v>
      </c>
      <c r="F225" t="s">
        <v>3589</v>
      </c>
      <c r="H225" t="s">
        <v>3590</v>
      </c>
    </row>
    <row r="226" ht="25.5" customHeight="1" spans="1:9">
      <c r="A226" t="s">
        <v>3591</v>
      </c>
      <c r="B226" t="s">
        <v>52</v>
      </c>
      <c r="C226" t="s">
        <v>380</v>
      </c>
      <c r="E226" t="s">
        <v>3592</v>
      </c>
      <c r="F226" t="s">
        <v>3593</v>
      </c>
      <c r="H226" t="s">
        <v>3594</v>
      </c>
    </row>
    <row r="227" ht="25.5" customHeight="1" spans="1:9">
      <c r="A227" t="s">
        <v>3595</v>
      </c>
      <c r="B227" t="s">
        <v>80</v>
      </c>
      <c r="C227" t="s">
        <v>697</v>
      </c>
      <c r="E227" t="s">
        <v>3596</v>
      </c>
      <c r="F227" t="s">
        <v>3597</v>
      </c>
      <c r="H227" t="s">
        <v>3598</v>
      </c>
      <c r="I227" t="s">
        <v>3599</v>
      </c>
    </row>
    <row r="228" ht="25.5" customHeight="1" spans="1:9">
      <c r="A228" t="s">
        <v>3600</v>
      </c>
      <c r="B228" t="s">
        <v>11</v>
      </c>
      <c r="C228" t="s">
        <v>3601</v>
      </c>
      <c r="E228" t="s">
        <v>3602</v>
      </c>
      <c r="F228" t="s">
        <v>3603</v>
      </c>
      <c r="H228" t="s">
        <v>3604</v>
      </c>
    </row>
    <row r="229" ht="25.5" customHeight="1" spans="1:9">
      <c r="A229" t="s">
        <v>3605</v>
      </c>
      <c r="B229" t="s">
        <v>56</v>
      </c>
      <c r="C229" t="s">
        <v>484</v>
      </c>
      <c r="E229" t="s">
        <v>3606</v>
      </c>
      <c r="F229" t="s">
        <v>3607</v>
      </c>
      <c r="H229" t="s">
        <v>3608</v>
      </c>
      <c r="I229" t="s">
        <v>3609</v>
      </c>
    </row>
    <row r="230" ht="25.5" customHeight="1" spans="1:9">
      <c r="A230" t="s">
        <v>3610</v>
      </c>
      <c r="B230" t="s">
        <v>38</v>
      </c>
      <c r="C230" t="s">
        <v>232</v>
      </c>
      <c r="E230" t="s">
        <v>3611</v>
      </c>
      <c r="F230" t="s">
        <v>3612</v>
      </c>
      <c r="H230" t="s">
        <v>3613</v>
      </c>
    </row>
    <row r="231" ht="25.5" customHeight="1" spans="1:9">
      <c r="A231" t="s">
        <v>3614</v>
      </c>
      <c r="B231" t="s">
        <v>1006</v>
      </c>
      <c r="C231" t="s">
        <v>411</v>
      </c>
      <c r="E231" t="s">
        <v>3615</v>
      </c>
      <c r="F231" t="s">
        <v>3616</v>
      </c>
      <c r="H231" t="s">
        <v>3617</v>
      </c>
    </row>
    <row r="232" ht="25.5" customHeight="1" spans="1:9">
      <c r="A232" t="s">
        <v>3618</v>
      </c>
      <c r="B232" t="s">
        <v>62</v>
      </c>
      <c r="C232" t="s">
        <v>741</v>
      </c>
      <c r="E232" t="s">
        <v>3619</v>
      </c>
      <c r="F232" t="s">
        <v>3620</v>
      </c>
      <c r="H232" t="s">
        <v>3621</v>
      </c>
      <c r="I232" t="s">
        <v>3622</v>
      </c>
    </row>
    <row r="233" ht="25.5" customHeight="1" spans="1:9">
      <c r="A233" t="s">
        <v>3623</v>
      </c>
      <c r="B233" t="s">
        <v>73</v>
      </c>
      <c r="C233" t="s">
        <v>667</v>
      </c>
      <c r="E233" t="s">
        <v>3624</v>
      </c>
      <c r="F233" t="s">
        <v>3625</v>
      </c>
      <c r="H233" t="s">
        <v>3626</v>
      </c>
      <c r="I233" t="s">
        <v>3627</v>
      </c>
    </row>
    <row r="234" ht="25.5" customHeight="1" spans="1:9">
      <c r="A234" t="s">
        <v>3628</v>
      </c>
      <c r="B234" t="s">
        <v>909</v>
      </c>
      <c r="C234" t="s">
        <v>910</v>
      </c>
      <c r="E234" t="s">
        <v>3629</v>
      </c>
      <c r="F234" t="s">
        <v>3630</v>
      </c>
      <c r="H234" t="s">
        <v>3631</v>
      </c>
    </row>
    <row r="235" ht="25.5" customHeight="1" spans="1:9">
      <c r="A235" t="s">
        <v>3632</v>
      </c>
      <c r="B235" t="s">
        <v>275</v>
      </c>
      <c r="C235" t="s">
        <v>276</v>
      </c>
      <c r="E235" t="s">
        <v>3633</v>
      </c>
      <c r="F235" t="s">
        <v>3634</v>
      </c>
      <c r="H235" t="s">
        <v>3635</v>
      </c>
    </row>
    <row r="236" ht="25.5" customHeight="1" spans="1:9">
      <c r="A236" t="s">
        <v>3636</v>
      </c>
      <c r="B236" t="s">
        <v>41</v>
      </c>
      <c r="C236" t="s">
        <v>251</v>
      </c>
      <c r="E236" t="s">
        <v>3637</v>
      </c>
      <c r="F236" t="s">
        <v>3638</v>
      </c>
      <c r="H236" t="s">
        <v>3639</v>
      </c>
    </row>
    <row r="237" ht="25.5" customHeight="1" spans="1:9">
      <c r="A237" t="s">
        <v>3640</v>
      </c>
      <c r="B237" t="s">
        <v>52</v>
      </c>
      <c r="C237" t="s">
        <v>3641</v>
      </c>
      <c r="E237" t="s">
        <v>3642</v>
      </c>
      <c r="F237" t="s">
        <v>3643</v>
      </c>
      <c r="H237" t="s">
        <v>3644</v>
      </c>
    </row>
    <row r="238" ht="25.5" customHeight="1" spans="1:9">
      <c r="A238" t="s">
        <v>3645</v>
      </c>
      <c r="B238" t="s">
        <v>90</v>
      </c>
      <c r="C238" t="s">
        <v>822</v>
      </c>
      <c r="E238" t="s">
        <v>3646</v>
      </c>
      <c r="F238" t="s">
        <v>3647</v>
      </c>
      <c r="H238" t="s">
        <v>3648</v>
      </c>
    </row>
    <row r="239" ht="25.5" customHeight="1" spans="1:9">
      <c r="A239" t="s">
        <v>3649</v>
      </c>
      <c r="B239" t="s">
        <v>63</v>
      </c>
      <c r="C239" t="s">
        <v>3650</v>
      </c>
      <c r="E239" t="s">
        <v>3651</v>
      </c>
      <c r="F239" t="s">
        <v>3652</v>
      </c>
      <c r="H239" t="s">
        <v>3653</v>
      </c>
    </row>
    <row r="240" ht="25.5" customHeight="1" spans="1:9">
      <c r="A240" t="s">
        <v>3654</v>
      </c>
      <c r="B240" t="s">
        <v>1035</v>
      </c>
      <c r="C240" t="s">
        <v>627</v>
      </c>
      <c r="E240" t="s">
        <v>3655</v>
      </c>
      <c r="F240" t="s">
        <v>3656</v>
      </c>
      <c r="H240" t="s">
        <v>3657</v>
      </c>
    </row>
    <row r="241" ht="25.5" customHeight="1" spans="1:9">
      <c r="A241" t="s">
        <v>3658</v>
      </c>
      <c r="B241" t="s">
        <v>55</v>
      </c>
      <c r="C241" t="s">
        <v>536</v>
      </c>
      <c r="E241" t="s">
        <v>3659</v>
      </c>
      <c r="F241" t="s">
        <v>3660</v>
      </c>
      <c r="H241" t="s">
        <v>3661</v>
      </c>
      <c r="I241" t="s">
        <v>3662</v>
      </c>
    </row>
    <row r="242" ht="25.5" customHeight="1" spans="1:9">
      <c r="A242" t="s">
        <v>3663</v>
      </c>
      <c r="B242" t="s">
        <v>24</v>
      </c>
      <c r="C242" t="s">
        <v>3664</v>
      </c>
      <c r="E242" t="s">
        <v>3665</v>
      </c>
      <c r="F242" t="s">
        <v>3666</v>
      </c>
      <c r="H242" t="s">
        <v>3667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64285714285714" defaultRowHeight="16.8" outlineLevelRow="7" outlineLevelCol="4"/>
  <cols>
    <col min="1" max="5" width="19" customWidth="1"/>
  </cols>
  <sheetData>
    <row r="1" ht="13" customHeight="1" spans="1:5">
      <c r="A1" s="1" t="s">
        <v>3668</v>
      </c>
      <c r="B1" s="1" t="s">
        <v>3669</v>
      </c>
      <c r="C1" s="1" t="s">
        <v>3</v>
      </c>
      <c r="D1" s="1" t="s">
        <v>4</v>
      </c>
      <c r="E1" s="1" t="s">
        <v>3670</v>
      </c>
    </row>
    <row r="2" ht="51" customHeight="1" spans="1:5">
      <c r="A2" t="s">
        <v>3671</v>
      </c>
      <c r="B2" t="s">
        <v>3672</v>
      </c>
      <c r="C2" t="s">
        <v>3673</v>
      </c>
      <c r="D2" t="s">
        <v>3673</v>
      </c>
      <c r="E2" t="s">
        <v>3674</v>
      </c>
    </row>
    <row r="3" ht="51" customHeight="1" spans="1:5">
      <c r="A3" t="s">
        <v>3675</v>
      </c>
      <c r="B3" t="s">
        <v>3676</v>
      </c>
      <c r="C3" t="s">
        <v>3673</v>
      </c>
      <c r="D3" t="s">
        <v>3677</v>
      </c>
      <c r="E3" t="s">
        <v>3678</v>
      </c>
    </row>
    <row r="4" ht="51" customHeight="1" spans="1:5">
      <c r="A4" t="s">
        <v>3679</v>
      </c>
      <c r="B4" t="s">
        <v>3680</v>
      </c>
      <c r="C4" t="s">
        <v>3681</v>
      </c>
      <c r="D4" t="s">
        <v>3682</v>
      </c>
      <c r="E4" t="s">
        <v>3683</v>
      </c>
    </row>
    <row r="5" ht="51" customHeight="1" spans="1:5">
      <c r="A5" t="s">
        <v>3684</v>
      </c>
      <c r="B5" t="s">
        <v>3680</v>
      </c>
      <c r="C5" t="s">
        <v>3681</v>
      </c>
      <c r="D5" t="s">
        <v>3685</v>
      </c>
      <c r="E5" t="s">
        <v>3686</v>
      </c>
    </row>
    <row r="6" ht="51" customHeight="1" spans="1:5">
      <c r="A6" t="s">
        <v>3687</v>
      </c>
      <c r="B6" t="s">
        <v>3680</v>
      </c>
      <c r="C6" t="s">
        <v>3681</v>
      </c>
      <c r="D6" t="s">
        <v>3688</v>
      </c>
      <c r="E6" t="s">
        <v>3689</v>
      </c>
    </row>
    <row r="7" ht="51" customHeight="1" spans="1:5">
      <c r="A7" t="s">
        <v>3690</v>
      </c>
      <c r="B7" t="s">
        <v>3680</v>
      </c>
      <c r="C7" t="s">
        <v>3682</v>
      </c>
      <c r="D7" t="s">
        <v>3681</v>
      </c>
      <c r="E7" t="s">
        <v>3691</v>
      </c>
    </row>
    <row r="8" ht="51" customHeight="1" spans="1:5">
      <c r="A8" t="s">
        <v>3692</v>
      </c>
      <c r="B8" t="s">
        <v>3693</v>
      </c>
      <c r="C8" t="s">
        <v>3682</v>
      </c>
      <c r="D8" t="s">
        <v>3681</v>
      </c>
      <c r="E8" t="s">
        <v>3694</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A1" sqref="A1"/>
    </sheetView>
  </sheetViews>
  <sheetFormatPr defaultColWidth="9.64285714285714" defaultRowHeight="16.8" outlineLevelRow="5" outlineLevelCol="1"/>
  <cols>
    <col min="1" max="2" width="19" customWidth="1"/>
  </cols>
  <sheetData>
    <row r="1" ht="13" customHeight="1" spans="1:2">
      <c r="A1" s="1" t="s">
        <v>3695</v>
      </c>
      <c r="B1" s="1" t="s">
        <v>3696</v>
      </c>
    </row>
    <row r="2" ht="63.75" customHeight="1" spans="1:2">
      <c r="A2" t="s">
        <v>3697</v>
      </c>
      <c r="B2" t="s">
        <v>3698</v>
      </c>
    </row>
    <row r="3" ht="63.75" customHeight="1"/>
    <row r="4" ht="63.75" customHeight="1"/>
    <row r="5" ht="63.75" customHeight="1"/>
    <row r="6" ht="63.75" customHeight="1"/>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
  <sheetViews>
    <sheetView workbookViewId="0">
      <selection activeCell="A1" sqref="A1"/>
    </sheetView>
  </sheetViews>
  <sheetFormatPr defaultColWidth="9.64285714285714" defaultRowHeight="16.8"/>
  <cols>
    <col min="1" max="20" width="19" customWidth="1"/>
  </cols>
  <sheetData>
    <row r="1" ht="13" customHeight="1" spans="1:20">
      <c r="A1" s="1" t="s">
        <v>3699</v>
      </c>
      <c r="B1" s="1" t="s">
        <v>3700</v>
      </c>
      <c r="C1" s="1" t="s">
        <v>3701</v>
      </c>
      <c r="D1" s="1" t="s">
        <v>1795</v>
      </c>
      <c r="E1" s="1" t="s">
        <v>3702</v>
      </c>
      <c r="F1" s="1" t="s">
        <v>3703</v>
      </c>
      <c r="G1" s="1" t="s">
        <v>3704</v>
      </c>
      <c r="H1" s="1" t="s">
        <v>3705</v>
      </c>
      <c r="I1" s="1" t="s">
        <v>3706</v>
      </c>
      <c r="J1" s="1" t="s">
        <v>3707</v>
      </c>
      <c r="K1" s="1" t="s">
        <v>3708</v>
      </c>
      <c r="L1" s="1" t="s">
        <v>3709</v>
      </c>
      <c r="M1" s="1" t="s">
        <v>3710</v>
      </c>
      <c r="N1" s="1" t="s">
        <v>3711</v>
      </c>
      <c r="O1" s="1" t="s">
        <v>3712</v>
      </c>
      <c r="P1" s="1" t="s">
        <v>3713</v>
      </c>
      <c r="Q1" s="1" t="s">
        <v>3714</v>
      </c>
      <c r="R1" s="1" t="s">
        <v>3715</v>
      </c>
      <c r="S1" s="1" t="s">
        <v>3716</v>
      </c>
      <c r="T1" s="1" t="s">
        <v>115</v>
      </c>
    </row>
    <row r="2" ht="25.5" customHeight="1" spans="1:20">
      <c r="A2">
        <v>3</v>
      </c>
      <c r="B2" t="s">
        <v>55</v>
      </c>
      <c r="C2" s="2" t="str">
        <f>HYPERLINK("https://ia5tkcgl924.feishu.cn/docx/IJIfdQEXro8z6DxYAbJcDuz4nMg?from=from_copylink","BCM-95资料整理 ")</f>
        <v>BCM-95资料整理 </v>
      </c>
      <c r="D2" t="s">
        <v>546</v>
      </c>
      <c r="E2" t="s">
        <v>1899</v>
      </c>
      <c r="F2" t="s">
        <v>3717</v>
      </c>
      <c r="G2" s="2" t="str">
        <f>HYPERLINK("https://arjunanatural.com/bcm-95-bioavailable-curcumin/","https://arjunanatural.com/bcm-95-bioavailable-curcumin/")</f>
        <v>https://arjunanatural.com/bcm-95-bioavailable-curcumin/</v>
      </c>
      <c r="H2" t="s">
        <v>3718</v>
      </c>
      <c r="I2" t="s">
        <v>1900</v>
      </c>
      <c r="K2" t="s">
        <v>3719</v>
      </c>
      <c r="L2" t="s">
        <v>3720</v>
      </c>
      <c r="M2" t="s">
        <v>3721</v>
      </c>
      <c r="O2" t="s">
        <v>3722</v>
      </c>
    </row>
    <row r="3" ht="25.5" customHeight="1" spans="1:20">
      <c r="A3">
        <v>4</v>
      </c>
      <c r="B3" t="s">
        <v>45</v>
      </c>
      <c r="C3" s="2" t="str">
        <f>HYPERLINK("https://ia5tkcgl924.feishu.cn/wiki/NYgTwxGAiiscUfkdh3Jc2Ho5nUg?from=from_copylink","槲皮素相关 ")</f>
        <v>槲皮素相关 </v>
      </c>
      <c r="D3" t="s">
        <v>2076</v>
      </c>
      <c r="E3" t="s">
        <v>2077</v>
      </c>
      <c r="F3" t="s">
        <v>3723</v>
      </c>
      <c r="G3" s="2" t="str">
        <f>HYPERLINK("https://www.indena.com/product/quercefit/","https://www.indena.com/product/quercefit/")</f>
        <v>https://www.indena.com/product/quercefit/</v>
      </c>
      <c r="H3" t="s">
        <v>3718</v>
      </c>
      <c r="I3" t="s">
        <v>2078</v>
      </c>
      <c r="K3" t="s">
        <v>3719</v>
      </c>
      <c r="L3" t="s">
        <v>2079</v>
      </c>
      <c r="M3" t="s">
        <v>3724</v>
      </c>
      <c r="O3" t="s">
        <v>3725</v>
      </c>
    </row>
    <row r="4" ht="25.5" customHeight="1" spans="1:20">
      <c r="A4">
        <v>5</v>
      </c>
      <c r="B4" t="s">
        <v>56</v>
      </c>
      <c r="C4" s="2" t="str">
        <f>HYPERLINK("https://ia5tkcgl924.feishu.cn/docx/Gx35dXCztolGaZxyjrhciYEvnIf?from=from_copylink","Sensoril 南非醉茄 ")</f>
        <v>Sensoril 南非醉茄 </v>
      </c>
      <c r="D4" t="s">
        <v>2051</v>
      </c>
      <c r="E4" t="s">
        <v>2052</v>
      </c>
      <c r="F4" t="s">
        <v>3726</v>
      </c>
      <c r="G4" s="2" t="str">
        <f>HYPERLINK("https://www.kerry.com/products/nutrition-ingredients/wellness-and-health/sensoril-ashwagandha","https://www.kerry.com/products/nutrition-ingredients/wellness-and-health/sensoril-ashwagandha")</f>
        <v>https://www.kerry.com/products/nutrition-ingredients/wellness-and-health/sensoril-ashwagandha</v>
      </c>
      <c r="H4" t="s">
        <v>3718</v>
      </c>
      <c r="J4" t="s">
        <v>2053</v>
      </c>
      <c r="K4" t="s">
        <v>3719</v>
      </c>
      <c r="L4" t="s">
        <v>3727</v>
      </c>
      <c r="M4" t="s">
        <v>3728</v>
      </c>
      <c r="O4" t="s">
        <v>3722</v>
      </c>
    </row>
    <row r="5" ht="25.5" customHeight="1" spans="1:20">
      <c r="A5">
        <v>6</v>
      </c>
      <c r="B5" t="s">
        <v>38</v>
      </c>
      <c r="C5" s="2" t="str">
        <f>HYPERLINK("https://ia5tkcgl924.feishu.cn/wiki/HpiEwqtmaiz85vkGzr4cTYcfnhb?from=from_copylink","亚精胺原料相关介绍 ")</f>
        <v>亚精胺原料相关介绍 </v>
      </c>
      <c r="D5" t="s">
        <v>1988</v>
      </c>
      <c r="E5" t="s">
        <v>1989</v>
      </c>
      <c r="F5" t="s">
        <v>3729</v>
      </c>
      <c r="G5" s="2" t="str">
        <f>HYPERLINK("https://www.effepharm.cn/our-products/supermide-spermidine","https://www.effepharm.cn/our-products/supermide-spermidine")</f>
        <v>https://www.effepharm.cn/our-products/supermide-spermidine</v>
      </c>
      <c r="H5" t="s">
        <v>3718</v>
      </c>
      <c r="J5" t="s">
        <v>1990</v>
      </c>
      <c r="K5" t="s">
        <v>3719</v>
      </c>
      <c r="L5" t="s">
        <v>3719</v>
      </c>
      <c r="M5" t="s">
        <v>3719</v>
      </c>
      <c r="O5" t="s">
        <v>3725</v>
      </c>
    </row>
    <row r="6" ht="25.5" customHeight="1" spans="1:20">
      <c r="A6">
        <v>7</v>
      </c>
      <c r="B6" t="s">
        <v>3730</v>
      </c>
      <c r="C6" s="2" t="str">
        <f>HYPERLINK("等待邮件回复","等待邮件回复")</f>
        <v>等待邮件回复</v>
      </c>
      <c r="D6" t="s">
        <v>1877</v>
      </c>
      <c r="E6" t="s">
        <v>1878</v>
      </c>
      <c r="F6" t="s">
        <v>3731</v>
      </c>
      <c r="G6" s="2" t="str">
        <f>HYPERLINK("https://www.kaneka.co.jp/en/business/nutrition/sup_001.html","https://www.kaneka.co.jp/en/business/nutrition/sup_001.html")</f>
        <v>https://www.kaneka.co.jp/en/business/nutrition/sup_001.html</v>
      </c>
      <c r="H6" t="s">
        <v>3718</v>
      </c>
      <c r="J6" t="s">
        <v>1879</v>
      </c>
      <c r="K6" t="s">
        <v>3719</v>
      </c>
      <c r="L6" t="s">
        <v>3719</v>
      </c>
      <c r="N6" t="s">
        <v>3732</v>
      </c>
      <c r="O6" t="s">
        <v>3722</v>
      </c>
    </row>
    <row r="7" ht="25.5" customHeight="1" spans="1:20">
      <c r="A7">
        <v>8</v>
      </c>
      <c r="B7" t="s">
        <v>53</v>
      </c>
      <c r="C7" s="2"/>
      <c r="D7" t="s">
        <v>1916</v>
      </c>
      <c r="E7" t="s">
        <v>1917</v>
      </c>
      <c r="F7" t="s">
        <v>3733</v>
      </c>
      <c r="G7" s="2" t="str">
        <f>HYPERLINK("https://www.neurocentria.com/","https://www.neurocentria.com/")</f>
        <v>https://www.neurocentria.com/</v>
      </c>
      <c r="H7" t="s">
        <v>3718</v>
      </c>
      <c r="K7" t="s">
        <v>3719</v>
      </c>
      <c r="L7" t="s">
        <v>3734</v>
      </c>
      <c r="M7" t="s">
        <v>3719</v>
      </c>
      <c r="O7" t="s">
        <v>3725</v>
      </c>
      <c r="R7" t="s">
        <v>3735</v>
      </c>
      <c r="S7" t="s">
        <v>3736</v>
      </c>
    </row>
    <row r="8" ht="25.5" customHeight="1" spans="1:20">
      <c r="A8">
        <v>9</v>
      </c>
      <c r="B8" t="s">
        <v>24</v>
      </c>
      <c r="C8" s="2" t="str">
        <f>HYPERLINK("https://ia5tkcgl924.feishu.cn/docx/LrZUdow49ouMhVxS5t9cv4t6nxf?from=from_copylink","Astazine 虾青素 ")</f>
        <v>Astazine 虾青素 </v>
      </c>
      <c r="D8" t="s">
        <v>2116</v>
      </c>
      <c r="E8" t="s">
        <v>2117</v>
      </c>
      <c r="F8" t="s">
        <v>3737</v>
      </c>
      <c r="G8" s="2" t="str">
        <f>HYPERLINK("https://bggworld.com/astaxanthin-astazinetm/","https://bggworld.com/astaxanthin-astazinetm/")</f>
        <v>https://bggworld.com/astaxanthin-astazinetm/</v>
      </c>
      <c r="H8" t="s">
        <v>3718</v>
      </c>
      <c r="I8" t="s">
        <v>2118</v>
      </c>
      <c r="K8" t="s">
        <v>3719</v>
      </c>
      <c r="L8" t="s">
        <v>3738</v>
      </c>
      <c r="M8" t="s">
        <v>3739</v>
      </c>
      <c r="O8" t="s">
        <v>3722</v>
      </c>
    </row>
    <row r="9" ht="25.5" customHeight="1" spans="1:20">
      <c r="A9">
        <v>10</v>
      </c>
      <c r="B9" t="s">
        <v>43</v>
      </c>
      <c r="C9" s="2" t="str">
        <f>HYPERLINK("https://ia5tkcgl924.feishu.cn/docx/V8Thdqj6xoyNg0x3sGqczeWFnJh?from=from_copylink","Berbevis 小檗碱 ")</f>
        <v>Berbevis 小檗碱 </v>
      </c>
      <c r="D9" t="s">
        <v>735</v>
      </c>
      <c r="E9" t="s">
        <v>2216</v>
      </c>
      <c r="F9" t="s">
        <v>3740</v>
      </c>
      <c r="G9" s="2" t="str">
        <f>HYPERLINK("https://www.indena.com/products/see-through-science/berbevis-berberine-phytosome/","https://www.indena.com/products/see-through-science/berbevis-berberine-phytosome/")</f>
        <v>https://www.indena.com/products/see-through-science/berbevis-berberine-phytosome/</v>
      </c>
      <c r="H9" t="s">
        <v>3718</v>
      </c>
      <c r="J9" t="s">
        <v>2217</v>
      </c>
      <c r="K9" t="s">
        <v>3741</v>
      </c>
      <c r="O9" t="s">
        <v>3722</v>
      </c>
    </row>
    <row r="10" ht="25.5" customHeight="1" spans="1:20">
      <c r="A10">
        <v>1</v>
      </c>
      <c r="B10" t="s">
        <v>3742</v>
      </c>
      <c r="C10" s="2" t="str">
        <f>HYPERLINK("https://ia5tkcgl924.feishu.cn/wiki/RViKwCwNIirI3YkQcV2cOioOnsf?from=from_copylink","NMN相关资料汇总整理 ")</f>
        <v>NMN相关资料汇总整理 </v>
      </c>
      <c r="D10" t="s">
        <v>3743</v>
      </c>
      <c r="E10" t="s">
        <v>3744</v>
      </c>
      <c r="F10" t="s">
        <v>3745</v>
      </c>
      <c r="G10" s="2" t="str">
        <f>HYPERLINK("https://www.bontac-bio.com/","https://www.bontac-bio.com/")</f>
        <v>https://www.bontac-bio.com/</v>
      </c>
      <c r="H10" t="s">
        <v>3718</v>
      </c>
      <c r="I10" t="s">
        <v>3746</v>
      </c>
      <c r="K10" t="s">
        <v>3719</v>
      </c>
      <c r="L10" t="s">
        <v>3719</v>
      </c>
      <c r="M10" t="s">
        <v>3719</v>
      </c>
      <c r="O10" t="s">
        <v>3725</v>
      </c>
    </row>
    <row r="11" ht="25.5" customHeight="1" spans="1:20">
      <c r="A11">
        <v>2</v>
      </c>
      <c r="B11" t="s">
        <v>35</v>
      </c>
      <c r="C11" s="2" t="str">
        <f>HYPERLINK("https://ia5tkcgl924.feishu.cn/docx/FUELd1HtEoB5Xpx7HMcc6CX7ntg?from=from_copylink","FloraGLO®  叶黄素 ")</f>
        <v>FloraGLO®  叶黄素 </v>
      </c>
      <c r="D11" t="s">
        <v>1969</v>
      </c>
      <c r="E11" t="s">
        <v>1970</v>
      </c>
      <c r="F11" t="s">
        <v>3747</v>
      </c>
      <c r="G11" s="2" t="str">
        <f>HYPERLINK("https://www.kemin.com/na/en-us/markets/human-nutrition/products/carotenoids/floraglo-lutein","https://www.kemin.com/na/en-us/markets/human-nutrition/products/carotenoids/floraglo-lutein")</f>
        <v>https://www.kemin.com/na/en-us/markets/human-nutrition/products/carotenoids/floraglo-lutein</v>
      </c>
      <c r="H11" t="s">
        <v>3718</v>
      </c>
      <c r="J11" t="s">
        <v>1971</v>
      </c>
      <c r="K11" t="s">
        <v>3719</v>
      </c>
      <c r="L11" t="s">
        <v>3719</v>
      </c>
      <c r="M11" t="s">
        <v>3719</v>
      </c>
      <c r="P11" t="s">
        <v>3725</v>
      </c>
      <c r="Q11" t="s">
        <v>3725</v>
      </c>
    </row>
    <row r="12" ht="25.5" customHeight="1" spans="1:20">
      <c r="A12">
        <v>11</v>
      </c>
      <c r="B12" t="s">
        <v>26</v>
      </c>
      <c r="C12" s="2"/>
      <c r="D12" t="s">
        <v>1942</v>
      </c>
      <c r="E12" t="s">
        <v>1943</v>
      </c>
      <c r="F12" t="s">
        <v>3748</v>
      </c>
      <c r="G12" s="2" t="str">
        <f>HYPERLINK("https://www.ygingredients.com/","https://www.ygingredients.com/")</f>
        <v>https://www.ygingredients.com/</v>
      </c>
      <c r="H12" t="s">
        <v>3718</v>
      </c>
      <c r="K12" t="s">
        <v>3719</v>
      </c>
      <c r="L12" t="s">
        <v>1945</v>
      </c>
      <c r="N12" t="s">
        <v>3749</v>
      </c>
      <c r="O12" t="s">
        <v>3725</v>
      </c>
    </row>
    <row r="13" ht="25.5" customHeight="1" spans="1:20">
      <c r="A13">
        <v>12</v>
      </c>
      <c r="B13" t="s">
        <v>3750</v>
      </c>
      <c r="C13" s="2"/>
      <c r="D13" t="s">
        <v>2151</v>
      </c>
      <c r="E13" t="s">
        <v>2152</v>
      </c>
      <c r="F13" t="s">
        <v>3751</v>
      </c>
      <c r="G13" s="2" t="str">
        <f>HYPERLINK("https://www.kerry.com/about/news-and-media/2022/kerry-completes-acquisition-of-science-backed-branded-botanical-extract-company-natreon","https://www.kerry.com/about/news-and-media/2022/kerry-completes-acquisition-of-science-backed-branded-botanical-extract-company-natreon")</f>
        <v>https://www.kerry.com/about/news-and-media/2022/kerry-completes-acquisition-of-science-backed-branded-botanical-extract-company-natreon</v>
      </c>
      <c r="H13" t="s">
        <v>3718</v>
      </c>
      <c r="I13" t="s">
        <v>2153</v>
      </c>
      <c r="K13" t="s">
        <v>2154</v>
      </c>
      <c r="M13" t="s">
        <v>3719</v>
      </c>
      <c r="O13" t="s">
        <v>3725</v>
      </c>
    </row>
    <row r="14" ht="25.5" customHeight="1" spans="1:20">
      <c r="A14">
        <v>13</v>
      </c>
      <c r="B14" t="s">
        <v>3752</v>
      </c>
      <c r="C14" s="2" t="str">
        <f>HYPERLINK("https://ia5tkcgl924.feishu.cn/wiki/QHDLwwlUxiDYMWkDfabc1czxn6d?from=from_copylink","AKK专利文档 ")</f>
        <v>AKK专利文档 </v>
      </c>
      <c r="D14" t="s">
        <v>1868</v>
      </c>
      <c r="E14" t="s">
        <v>3753</v>
      </c>
      <c r="F14" t="s">
        <v>3754</v>
      </c>
      <c r="G14" s="2" t="str">
        <f>HYPERLINK("http://www.thankcome.com/","http://www.thankcome.com/")</f>
        <v>http://www.thankcome.com/</v>
      </c>
      <c r="H14" t="s">
        <v>3718</v>
      </c>
      <c r="K14" t="s">
        <v>3719</v>
      </c>
      <c r="L14" t="s">
        <v>3755</v>
      </c>
      <c r="M14" t="s">
        <v>3756</v>
      </c>
      <c r="O14" t="s">
        <v>3725</v>
      </c>
    </row>
    <row r="15" ht="25.5" customHeight="1" spans="1:20">
      <c r="A15">
        <v>14</v>
      </c>
      <c r="B15" t="s">
        <v>1035</v>
      </c>
      <c r="C15" s="2"/>
      <c r="D15" t="s">
        <v>638</v>
      </c>
      <c r="E15" t="s">
        <v>2168</v>
      </c>
      <c r="F15" t="s">
        <v>3757</v>
      </c>
      <c r="G15" s="2" t="str">
        <f>HYPERLINK("https://www.lifesdha.com/en_US/home.html","https://www.lifesdha.com/en_US/home.html")</f>
        <v>https://www.lifesdha.com/en_US/home.html</v>
      </c>
      <c r="H15" t="s">
        <v>3758</v>
      </c>
      <c r="K15" t="s">
        <v>3719</v>
      </c>
      <c r="L15" t="s">
        <v>3719</v>
      </c>
      <c r="M15" t="s">
        <v>3719</v>
      </c>
      <c r="O15" t="s">
        <v>3725</v>
      </c>
    </row>
    <row r="16" ht="25.5" customHeight="1" spans="1:20">
      <c r="A16">
        <v>15</v>
      </c>
      <c r="B16" t="s">
        <v>711</v>
      </c>
      <c r="C16" s="2" t="str">
        <f>HYPERLINK("https://ia5tkcgl924.feishu.cn/wiki/TgQewE42uikQhIkcQeYcpZj4ncd?from=from_copylink","Pylopass 养胃益生菌 ")</f>
        <v>Pylopass 养胃益生菌 </v>
      </c>
      <c r="D16" t="s">
        <v>2202</v>
      </c>
      <c r="E16" t="s">
        <v>2203</v>
      </c>
      <c r="F16" t="s">
        <v>3759</v>
      </c>
      <c r="G16" s="2" t="str">
        <f>HYPERLINK("https://www.novozymesonehealth.cn/solutions/pylopass","https://www.novozymesonehealth.cn/solutions/pylopass")</f>
        <v>https://www.novozymesonehealth.cn/solutions/pylopass</v>
      </c>
      <c r="H16" t="s">
        <v>3760</v>
      </c>
      <c r="K16" t="s">
        <v>3741</v>
      </c>
      <c r="L16" t="s">
        <v>3741</v>
      </c>
      <c r="M16" t="s">
        <v>3741</v>
      </c>
      <c r="O16" t="s">
        <v>3725</v>
      </c>
    </row>
    <row r="17" ht="25.5" customHeight="1" spans="3:7">
      <c r="C17" s="2"/>
      <c r="G17" s="2"/>
    </row>
    <row r="18" ht="25.5" customHeight="1" spans="3:7">
      <c r="C18" s="2"/>
      <c r="G18" s="2"/>
    </row>
    <row r="19" ht="25.5" customHeight="1" spans="3:7">
      <c r="C19" s="2"/>
      <c r="G19" s="2"/>
    </row>
  </sheetData>
  <conditionalFormatting sqref="D$1:D$1048576">
    <cfRule type="containsBlanks" dxfId="0" priority="1">
      <formula>LEN(TRIM(D1))=0</formula>
    </cfRule>
    <cfRule type="notContainsBlanks" dxfId="0" priority="2">
      <formula>LEN(TRIM(D1))&gt;0</formula>
    </cfRule>
  </conditionalFormatting>
  <conditionalFormatting sqref="E$1:E$1048576">
    <cfRule type="containsBlanks" dxfId="1" priority="3">
      <formula>LEN(TRIM(E1))=0</formula>
    </cfRule>
    <cfRule type="notContainsBlanks" dxfId="1" priority="4">
      <formula>LEN(TRIM(E1))&gt;0</formula>
    </cfRule>
  </conditionalFormatting>
  <dataValidations count="2">
    <dataValidation type="list" sqref="H2:H18">
      <formula1>"已授权,未授权,还未生产不涉及,授权中"</formula1>
    </dataValidation>
    <dataValidation type="list" sqref="O2:O18">
      <formula1>"@Jade,@Skye"</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12</vt:i4>
      </vt:variant>
    </vt:vector>
  </HeadingPairs>
  <TitlesOfParts>
    <vt:vector size="12" baseType="lpstr">
      <vt:lpstr>1 产品发货状态</vt:lpstr>
      <vt:lpstr>2 促单活动</vt:lpstr>
      <vt:lpstr>3 限时通知</vt:lpstr>
      <vt:lpstr>5 产品常规信息</vt:lpstr>
      <vt:lpstr>6 论文表</vt:lpstr>
      <vt:lpstr>7 L0级注意事项</vt:lpstr>
      <vt:lpstr>10 补剂推荐</vt:lpstr>
      <vt:lpstr>12原料专利、认证等材料</vt:lpstr>
      <vt:lpstr>13 产品检测报告</vt:lpstr>
      <vt:lpstr>15 发货状态通用话术库</vt:lpstr>
      <vt:lpstr>16 异常物流话术</vt:lpstr>
      <vt:lpstr>对标品牌与授权（有部分重复信息）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裕境泽</cp:lastModifiedBy>
  <dcterms:created xsi:type="dcterms:W3CDTF">2006-09-16T08:00:00Z</dcterms:created>
  <dcterms:modified xsi:type="dcterms:W3CDTF">2026-05-25T15:20:58Z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E2B5BC3D1E80C1EA5AF8136A62FCAB7E_42</vt:lpwstr>
  </property>
  <property fmtid="{D5CDD505-2E9C-101B-9397-08002B2CF9AE}" pid="3" name="KSOProductBuildVer">
    <vt:lpwstr>2052-12.1.25895.25895</vt:lpwstr>
  </property>
  <property fmtid="{D5CDD505-2E9C-101B-9397-08002B2CF9AE}" pid="4" name="CalculationRule">
    <vt:i4>0</vt:i4>
  </property>
</Properties>
</file>